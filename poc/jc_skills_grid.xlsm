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date1904="1" showInkAnnotation="0" codeName="ThisWorkbook" hidePivotFieldList="1" autoCompressPictures="0"/>
  <bookViews>
    <workbookView xWindow="0" yWindow="0" windowWidth="40040" windowHeight="25120" tabRatio="500" firstSheet="1" activeTab="5"/>
  </bookViews>
  <sheets>
    <sheet name="WnS Bill" sheetId="5" state="hidden" r:id="rId1"/>
    <sheet name="Skills Grid" sheetId="2" r:id="rId2"/>
    <sheet name="Sheet1" sheetId="13" r:id="rId3"/>
    <sheet name="WnS Bill Move Ship" sheetId="8" r:id="rId4"/>
    <sheet name="WnS Bill Harbour Cruise" sheetId="9" r:id="rId5"/>
    <sheet name="WnS Bill Day Sail" sheetId="10" r:id="rId6"/>
    <sheet name="WnS Bill Voyage" sheetId="11" r:id="rId7"/>
  </sheets>
  <definedNames>
    <definedName name="BillAssignmentRef">'Skills Grid'!$C$5</definedName>
    <definedName name="EndColumn">'Skills Grid'!$JO$3</definedName>
    <definedName name="_xlnm.Print_Area" localSheetId="1">'Skills Grid'!$A$1:$JM$143</definedName>
    <definedName name="_xlnm.Print_Titles" localSheetId="1">'Skills Grid'!$A:$D,'Skills Grid'!$1:$3</definedName>
    <definedName name="sGeneralDuties">Sheet1!$B$2</definedName>
    <definedName name="SkillsRef">'Skills Grid'!$A$11</definedName>
    <definedName name="TaskRankRequirements">'Skills Grid'!$E$4:$LB$4</definedName>
    <definedName name="TasksRef">'Skills Grid'!$C$1</definedName>
    <definedName name="WnSAssignmentDaySail">'Skills Grid'!$E$10:$LB$10</definedName>
    <definedName name="WnSAssignmentHarbourCruise">'Skills Grid'!$E$8:$LB$8</definedName>
    <definedName name="WnSAssignmentMoveShip">'Skills Grid'!$E$6:$LB$6</definedName>
  </definedNames>
  <calcPr calcId="140001" concurrentCalc="0"/>
  <extLst>
    <ext xmlns:mx="http://schemas.microsoft.com/office/mac/excel/2008/main" uri="{7523E5D3-25F3-A5E0-1632-64F254C22452}">
      <mx:ArchID Flags="2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43" i="2" l="1"/>
  <c r="GA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A10" i="2"/>
  <c r="EZ10" i="2"/>
  <c r="D8" i="8" a="1"/>
  <c r="D8" i="8"/>
  <c r="E8" i="8" a="1"/>
  <c r="E8" i="8"/>
  <c r="D9" i="8" a="1"/>
  <c r="D9" i="8"/>
  <c r="E9" i="8" a="1"/>
  <c r="E9" i="8"/>
  <c r="D10" i="8" a="1"/>
  <c r="D10" i="8"/>
  <c r="E10" i="8" a="1"/>
  <c r="E10" i="8"/>
  <c r="D11" i="8" a="1"/>
  <c r="D11" i="8"/>
  <c r="E11" i="8" a="1"/>
  <c r="E11" i="8"/>
  <c r="D12" i="8" a="1"/>
  <c r="D12" i="8"/>
  <c r="E4" i="2" a="1"/>
  <c r="E4" i="2"/>
  <c r="F4" i="2" a="1"/>
  <c r="F4" i="2"/>
  <c r="G4" i="2" a="1"/>
  <c r="G4" i="2"/>
  <c r="H4" i="2" a="1"/>
  <c r="H4" i="2"/>
  <c r="I4" i="2" a="1"/>
  <c r="I4" i="2"/>
  <c r="J4" i="2" a="1"/>
  <c r="J4" i="2"/>
  <c r="K4" i="2" a="1"/>
  <c r="K4" i="2"/>
  <c r="L4" i="2" a="1"/>
  <c r="L4" i="2"/>
  <c r="M4" i="2" a="1"/>
  <c r="M4" i="2"/>
  <c r="N4" i="2" a="1"/>
  <c r="N4" i="2"/>
  <c r="O4" i="2" a="1"/>
  <c r="O4" i="2"/>
  <c r="P4" i="2" a="1"/>
  <c r="P4" i="2"/>
  <c r="Q4" i="2" a="1"/>
  <c r="Q4" i="2"/>
  <c r="R4" i="2" a="1"/>
  <c r="R4" i="2"/>
  <c r="S4" i="2" a="1"/>
  <c r="S4" i="2"/>
  <c r="T4" i="2" a="1"/>
  <c r="T4" i="2"/>
  <c r="U4" i="2" a="1"/>
  <c r="U4" i="2"/>
  <c r="V4" i="2" a="1"/>
  <c r="V4" i="2"/>
  <c r="W4" i="2" a="1"/>
  <c r="W4" i="2"/>
  <c r="X4" i="2" a="1"/>
  <c r="X4" i="2"/>
  <c r="Y4" i="2" a="1"/>
  <c r="Y4" i="2"/>
  <c r="Z4" i="2" a="1"/>
  <c r="Z4" i="2"/>
  <c r="AA4" i="2" a="1"/>
  <c r="AA4" i="2"/>
  <c r="AB4" i="2" a="1"/>
  <c r="AB4" i="2"/>
  <c r="AC4" i="2" a="1"/>
  <c r="AC4" i="2"/>
  <c r="AD4" i="2" a="1"/>
  <c r="AD4" i="2"/>
  <c r="AE4" i="2" a="1"/>
  <c r="AE4" i="2"/>
  <c r="AF4" i="2" a="1"/>
  <c r="AF4" i="2"/>
  <c r="AG4" i="2" a="1"/>
  <c r="AG4" i="2"/>
  <c r="AH4" i="2" a="1"/>
  <c r="AH4" i="2"/>
  <c r="AI4" i="2" a="1"/>
  <c r="AI4" i="2"/>
  <c r="AJ4" i="2" a="1"/>
  <c r="AJ4" i="2"/>
  <c r="AK4" i="2" a="1"/>
  <c r="AK4" i="2"/>
  <c r="AL4" i="2" a="1"/>
  <c r="AL4" i="2"/>
  <c r="AM4" i="2" a="1"/>
  <c r="AM4" i="2"/>
  <c r="AN4" i="2" a="1"/>
  <c r="AN4" i="2"/>
  <c r="AO4" i="2" a="1"/>
  <c r="AO4" i="2"/>
  <c r="AP4" i="2" a="1"/>
  <c r="AP4" i="2"/>
  <c r="AQ4" i="2" a="1"/>
  <c r="AQ4" i="2"/>
  <c r="AR4" i="2" a="1"/>
  <c r="AR4" i="2"/>
  <c r="AS4" i="2" a="1"/>
  <c r="AS4" i="2"/>
  <c r="AT4" i="2" a="1"/>
  <c r="AT4" i="2"/>
  <c r="AU4" i="2" a="1"/>
  <c r="AU4" i="2"/>
  <c r="AV4" i="2" a="1"/>
  <c r="AV4" i="2"/>
  <c r="AW4" i="2" a="1"/>
  <c r="AW4" i="2"/>
  <c r="AX4" i="2" a="1"/>
  <c r="AX4" i="2"/>
  <c r="AY4" i="2" a="1"/>
  <c r="AY4" i="2"/>
  <c r="AZ4" i="2" a="1"/>
  <c r="AZ4" i="2"/>
  <c r="BA4" i="2" a="1"/>
  <c r="BA4" i="2"/>
  <c r="BB4" i="2" a="1"/>
  <c r="BB4" i="2"/>
  <c r="BC4" i="2" a="1"/>
  <c r="BC4" i="2"/>
  <c r="BD4" i="2" a="1"/>
  <c r="BD4" i="2"/>
  <c r="BE4" i="2" a="1"/>
  <c r="BE4" i="2"/>
  <c r="BF4" i="2" a="1"/>
  <c r="BF4" i="2"/>
  <c r="BG4" i="2" a="1"/>
  <c r="BG4" i="2"/>
  <c r="BH4" i="2" a="1"/>
  <c r="BH4" i="2"/>
  <c r="BI4" i="2" a="1"/>
  <c r="BI4" i="2"/>
  <c r="BJ4" i="2" a="1"/>
  <c r="BJ4" i="2"/>
  <c r="BK4" i="2" a="1"/>
  <c r="BK4" i="2"/>
  <c r="BL4" i="2" a="1"/>
  <c r="BL4" i="2"/>
  <c r="BM4" i="2" a="1"/>
  <c r="BM4" i="2"/>
  <c r="BN4" i="2" a="1"/>
  <c r="BN4" i="2"/>
  <c r="BO4" i="2" a="1"/>
  <c r="BO4" i="2"/>
  <c r="BP4" i="2" a="1"/>
  <c r="BP4" i="2"/>
  <c r="BQ4" i="2" a="1"/>
  <c r="BQ4" i="2"/>
  <c r="BR4" i="2" a="1"/>
  <c r="BR4" i="2"/>
  <c r="BS4" i="2" a="1"/>
  <c r="BS4" i="2"/>
  <c r="BT4" i="2" a="1"/>
  <c r="BT4" i="2"/>
  <c r="BU4" i="2" a="1"/>
  <c r="BU4" i="2"/>
  <c r="BV4" i="2" a="1"/>
  <c r="BV4" i="2"/>
  <c r="BW4" i="2" a="1"/>
  <c r="BW4" i="2"/>
  <c r="BX4" i="2" a="1"/>
  <c r="BX4" i="2"/>
  <c r="BY4" i="2" a="1"/>
  <c r="BY4" i="2"/>
  <c r="BZ4" i="2" a="1"/>
  <c r="BZ4" i="2"/>
  <c r="CA4" i="2" a="1"/>
  <c r="CA4" i="2"/>
  <c r="CB4" i="2" a="1"/>
  <c r="CB4" i="2"/>
  <c r="CC4" i="2" a="1"/>
  <c r="CC4" i="2"/>
  <c r="CD4" i="2" a="1"/>
  <c r="CD4" i="2"/>
  <c r="CE4" i="2" a="1"/>
  <c r="CE4" i="2"/>
  <c r="CF4" i="2" a="1"/>
  <c r="CF4" i="2"/>
  <c r="CG4" i="2" a="1"/>
  <c r="CG4" i="2"/>
  <c r="CH4" i="2" a="1"/>
  <c r="CH4" i="2"/>
  <c r="CI4" i="2" a="1"/>
  <c r="CI4" i="2"/>
  <c r="CJ4" i="2" a="1"/>
  <c r="CJ4" i="2"/>
  <c r="CK4" i="2" a="1"/>
  <c r="CK4" i="2"/>
  <c r="CL4" i="2" a="1"/>
  <c r="CL4" i="2"/>
  <c r="CM4" i="2" a="1"/>
  <c r="CM4" i="2"/>
  <c r="CN4" i="2" a="1"/>
  <c r="CN4" i="2"/>
  <c r="CO4" i="2" a="1"/>
  <c r="CO4" i="2"/>
  <c r="CP4" i="2" a="1"/>
  <c r="CP4" i="2"/>
  <c r="CQ4" i="2" a="1"/>
  <c r="CQ4" i="2"/>
  <c r="CR4" i="2" a="1"/>
  <c r="CR4" i="2"/>
  <c r="CS4" i="2" a="1"/>
  <c r="CS4" i="2"/>
  <c r="CT4" i="2" a="1"/>
  <c r="CT4" i="2"/>
  <c r="CU4" i="2" a="1"/>
  <c r="CU4" i="2"/>
  <c r="CV4" i="2" a="1"/>
  <c r="CV4" i="2"/>
  <c r="CW4" i="2" a="1"/>
  <c r="CW4" i="2"/>
  <c r="CX4" i="2" a="1"/>
  <c r="CX4" i="2"/>
  <c r="CY4" i="2" a="1"/>
  <c r="CY4" i="2"/>
  <c r="CZ4" i="2" a="1"/>
  <c r="CZ4" i="2"/>
  <c r="DA4" i="2" a="1"/>
  <c r="DA4" i="2"/>
  <c r="DB4" i="2" a="1"/>
  <c r="DB4" i="2"/>
  <c r="DC4" i="2" a="1"/>
  <c r="DC4" i="2"/>
  <c r="DD4" i="2" a="1"/>
  <c r="DD4" i="2"/>
  <c r="DE4" i="2" a="1"/>
  <c r="DE4" i="2"/>
  <c r="DF4" i="2" a="1"/>
  <c r="DF4" i="2"/>
  <c r="DG4" i="2" a="1"/>
  <c r="DG4" i="2"/>
  <c r="DH4" i="2" a="1"/>
  <c r="DH4" i="2"/>
  <c r="DI4" i="2" a="1"/>
  <c r="DI4" i="2"/>
  <c r="DJ4" i="2" a="1"/>
  <c r="DJ4" i="2"/>
  <c r="DK4" i="2" a="1"/>
  <c r="DK4" i="2"/>
  <c r="DL4" i="2" a="1"/>
  <c r="DL4" i="2"/>
  <c r="DM4" i="2" a="1"/>
  <c r="DM4" i="2"/>
  <c r="DN4" i="2" a="1"/>
  <c r="DN4" i="2"/>
  <c r="DO4" i="2" a="1"/>
  <c r="DO4" i="2"/>
  <c r="DP4" i="2" a="1"/>
  <c r="DP4" i="2"/>
  <c r="DQ4" i="2" a="1"/>
  <c r="DQ4" i="2"/>
  <c r="DR4" i="2" a="1"/>
  <c r="DR4" i="2"/>
  <c r="DS4" i="2" a="1"/>
  <c r="DS4" i="2"/>
  <c r="DT4" i="2" a="1"/>
  <c r="DT4" i="2"/>
  <c r="DU4" i="2" a="1"/>
  <c r="DU4" i="2"/>
  <c r="DV4" i="2" a="1"/>
  <c r="DV4" i="2"/>
  <c r="DW4" i="2" a="1"/>
  <c r="DW4" i="2"/>
  <c r="DX4" i="2" a="1"/>
  <c r="DX4" i="2"/>
  <c r="DY4" i="2" a="1"/>
  <c r="DY4" i="2"/>
  <c r="DZ4" i="2" a="1"/>
  <c r="DZ4" i="2"/>
  <c r="EA4" i="2" a="1"/>
  <c r="EA4" i="2"/>
  <c r="EB4" i="2" a="1"/>
  <c r="EB4" i="2"/>
  <c r="EC4" i="2" a="1"/>
  <c r="EC4" i="2"/>
  <c r="ED4" i="2" a="1"/>
  <c r="ED4" i="2"/>
  <c r="EE4" i="2" a="1"/>
  <c r="EE4" i="2"/>
  <c r="EF4" i="2" a="1"/>
  <c r="EF4" i="2"/>
  <c r="EG4" i="2" a="1"/>
  <c r="EG4" i="2"/>
  <c r="EH4" i="2" a="1"/>
  <c r="EH4" i="2"/>
  <c r="EI4" i="2" a="1"/>
  <c r="EI4" i="2"/>
  <c r="EJ4" i="2" a="1"/>
  <c r="EJ4" i="2"/>
  <c r="EK4" i="2" a="1"/>
  <c r="EK4" i="2"/>
  <c r="EL4" i="2" a="1"/>
  <c r="EL4" i="2"/>
  <c r="EM4" i="2" a="1"/>
  <c r="EM4" i="2"/>
  <c r="EN4" i="2" a="1"/>
  <c r="EN4" i="2"/>
  <c r="EO4" i="2" a="1"/>
  <c r="EO4" i="2"/>
  <c r="EP4" i="2" a="1"/>
  <c r="EP4" i="2"/>
  <c r="EQ4" i="2" a="1"/>
  <c r="EQ4" i="2"/>
  <c r="ER4" i="2" a="1"/>
  <c r="ER4" i="2"/>
  <c r="ES4" i="2" a="1"/>
  <c r="ES4" i="2"/>
  <c r="ET4" i="2" a="1"/>
  <c r="ET4" i="2"/>
  <c r="EU4" i="2" a="1"/>
  <c r="EU4" i="2"/>
  <c r="EV4" i="2" a="1"/>
  <c r="EV4" i="2"/>
  <c r="EW4" i="2" a="1"/>
  <c r="EW4" i="2"/>
  <c r="EX4" i="2" a="1"/>
  <c r="EX4" i="2"/>
  <c r="EY4" i="2" a="1"/>
  <c r="EY4" i="2"/>
  <c r="EZ4" i="2" a="1"/>
  <c r="EZ4" i="2"/>
  <c r="FA4" i="2" a="1"/>
  <c r="FA4" i="2"/>
  <c r="FB4" i="2" a="1"/>
  <c r="FB4" i="2"/>
  <c r="FC4" i="2" a="1"/>
  <c r="FC4" i="2"/>
  <c r="FD4" i="2" a="1"/>
  <c r="FD4" i="2"/>
  <c r="FE4" i="2" a="1"/>
  <c r="FE4" i="2"/>
  <c r="FF4" i="2" a="1"/>
  <c r="FF4" i="2"/>
  <c r="FG4" i="2" a="1"/>
  <c r="FG4" i="2"/>
  <c r="FH4" i="2" a="1"/>
  <c r="FH4" i="2"/>
  <c r="FI4" i="2" a="1"/>
  <c r="FI4" i="2"/>
  <c r="FJ4" i="2" a="1"/>
  <c r="FJ4" i="2"/>
  <c r="FK4" i="2" a="1"/>
  <c r="FK4" i="2"/>
  <c r="FL4" i="2" a="1"/>
  <c r="FL4" i="2"/>
  <c r="FM4" i="2" a="1"/>
  <c r="FM4" i="2"/>
  <c r="FN4" i="2" a="1"/>
  <c r="FN4" i="2"/>
  <c r="FO4" i="2" a="1"/>
  <c r="FO4" i="2"/>
  <c r="FP4" i="2" a="1"/>
  <c r="FP4" i="2"/>
  <c r="FQ4" i="2" a="1"/>
  <c r="FQ4" i="2"/>
  <c r="FR4" i="2" a="1"/>
  <c r="FR4" i="2"/>
  <c r="FS4" i="2" a="1"/>
  <c r="FS4" i="2"/>
  <c r="FT4" i="2" a="1"/>
  <c r="FT4" i="2"/>
  <c r="FU4" i="2" a="1"/>
  <c r="FU4" i="2"/>
  <c r="FV4" i="2" a="1"/>
  <c r="FV4" i="2"/>
  <c r="FW4" i="2" a="1"/>
  <c r="FW4" i="2"/>
  <c r="FX4" i="2" a="1"/>
  <c r="FX4" i="2"/>
  <c r="FY4" i="2" a="1"/>
  <c r="FY4" i="2"/>
  <c r="FZ4" i="2" a="1"/>
  <c r="FZ4" i="2"/>
  <c r="GA4" i="2" a="1"/>
  <c r="GA4" i="2"/>
  <c r="GB4" i="2" a="1"/>
  <c r="GB4" i="2"/>
  <c r="GC4" i="2" a="1"/>
  <c r="GC4" i="2"/>
  <c r="GD4" i="2" a="1"/>
  <c r="GD4" i="2"/>
  <c r="GE4" i="2" a="1"/>
  <c r="GE4" i="2"/>
  <c r="GF4" i="2" a="1"/>
  <c r="GF4" i="2"/>
  <c r="GG4" i="2" a="1"/>
  <c r="GG4" i="2"/>
  <c r="GH4" i="2" a="1"/>
  <c r="GH4" i="2"/>
  <c r="GI4" i="2" a="1"/>
  <c r="GI4" i="2"/>
  <c r="GJ4" i="2" a="1"/>
  <c r="GJ4" i="2"/>
  <c r="GK4" i="2" a="1"/>
  <c r="GK4" i="2"/>
  <c r="GL4" i="2" a="1"/>
  <c r="GL4" i="2"/>
  <c r="GM4" i="2" a="1"/>
  <c r="GM4" i="2"/>
  <c r="GN4" i="2" a="1"/>
  <c r="GN4" i="2"/>
  <c r="GO4" i="2" a="1"/>
  <c r="GO4" i="2"/>
  <c r="GP4" i="2" a="1"/>
  <c r="GP4" i="2"/>
  <c r="GQ4" i="2" a="1"/>
  <c r="GQ4" i="2"/>
  <c r="GR4" i="2" a="1"/>
  <c r="GR4" i="2"/>
  <c r="GS4" i="2" a="1"/>
  <c r="GS4" i="2"/>
  <c r="GT4" i="2" a="1"/>
  <c r="GT4" i="2"/>
  <c r="GU4" i="2" a="1"/>
  <c r="GU4" i="2"/>
  <c r="GV4" i="2" a="1"/>
  <c r="GV4" i="2"/>
  <c r="GW4" i="2" a="1"/>
  <c r="GW4" i="2"/>
  <c r="GX4" i="2" a="1"/>
  <c r="GX4" i="2"/>
  <c r="GY4" i="2" a="1"/>
  <c r="GY4" i="2"/>
  <c r="GZ4" i="2" a="1"/>
  <c r="GZ4" i="2"/>
  <c r="HA4" i="2" a="1"/>
  <c r="HA4" i="2"/>
  <c r="HB4" i="2" a="1"/>
  <c r="HB4" i="2"/>
  <c r="HC4" i="2" a="1"/>
  <c r="HC4" i="2"/>
  <c r="HD4" i="2" a="1"/>
  <c r="HD4" i="2"/>
  <c r="HE4" i="2" a="1"/>
  <c r="HE4" i="2"/>
  <c r="HF4" i="2" a="1"/>
  <c r="HF4" i="2"/>
  <c r="HG4" i="2" a="1"/>
  <c r="HG4" i="2"/>
  <c r="HH4" i="2" a="1"/>
  <c r="HH4" i="2"/>
  <c r="HI4" i="2" a="1"/>
  <c r="HI4" i="2"/>
  <c r="HJ4" i="2" a="1"/>
  <c r="HJ4" i="2"/>
  <c r="HK4" i="2" a="1"/>
  <c r="HK4" i="2"/>
  <c r="HL4" i="2" a="1"/>
  <c r="HL4" i="2"/>
  <c r="HM4" i="2" a="1"/>
  <c r="HM4" i="2"/>
  <c r="HN4" i="2" a="1"/>
  <c r="HN4" i="2"/>
  <c r="HO4" i="2" a="1"/>
  <c r="HO4" i="2"/>
  <c r="HP4" i="2" a="1"/>
  <c r="HP4" i="2"/>
  <c r="HQ4" i="2" a="1"/>
  <c r="HQ4" i="2"/>
  <c r="HR4" i="2" a="1"/>
  <c r="HR4" i="2"/>
  <c r="HS4" i="2" a="1"/>
  <c r="HS4" i="2"/>
  <c r="HT4" i="2" a="1"/>
  <c r="HT4" i="2"/>
  <c r="HU4" i="2" a="1"/>
  <c r="HU4" i="2"/>
  <c r="HV4" i="2" a="1"/>
  <c r="HV4" i="2"/>
  <c r="HW4" i="2" a="1"/>
  <c r="HW4" i="2"/>
  <c r="HX4" i="2" a="1"/>
  <c r="HX4" i="2"/>
  <c r="HY4" i="2" a="1"/>
  <c r="HY4" i="2"/>
  <c r="HZ4" i="2" a="1"/>
  <c r="HZ4" i="2"/>
  <c r="IA4" i="2" a="1"/>
  <c r="IA4" i="2"/>
  <c r="IB4" i="2" a="1"/>
  <c r="IB4" i="2"/>
  <c r="IC4" i="2" a="1"/>
  <c r="IC4" i="2"/>
  <c r="ID4" i="2" a="1"/>
  <c r="ID4" i="2"/>
  <c r="IE4" i="2" a="1"/>
  <c r="IE4" i="2"/>
  <c r="IF4" i="2" a="1"/>
  <c r="IF4" i="2"/>
  <c r="IG4" i="2" a="1"/>
  <c r="IG4" i="2"/>
  <c r="IH4" i="2" a="1"/>
  <c r="IH4" i="2"/>
  <c r="II4" i="2" a="1"/>
  <c r="II4" i="2"/>
  <c r="IJ4" i="2" a="1"/>
  <c r="IJ4" i="2"/>
  <c r="IK4" i="2" a="1"/>
  <c r="IK4" i="2"/>
  <c r="IL4" i="2" a="1"/>
  <c r="IL4" i="2"/>
  <c r="IM4" i="2" a="1"/>
  <c r="IM4" i="2"/>
  <c r="IN4" i="2" a="1"/>
  <c r="IN4" i="2"/>
  <c r="IO4" i="2" a="1"/>
  <c r="IO4" i="2"/>
  <c r="IP4" i="2" a="1"/>
  <c r="IP4" i="2"/>
  <c r="IQ4" i="2" a="1"/>
  <c r="IQ4" i="2"/>
  <c r="IR4" i="2" a="1"/>
  <c r="IR4" i="2"/>
  <c r="IS4" i="2" a="1"/>
  <c r="IS4" i="2"/>
  <c r="IT4" i="2" a="1"/>
  <c r="IT4" i="2"/>
  <c r="IU4" i="2" a="1"/>
  <c r="IU4" i="2"/>
  <c r="IV4" i="2" a="1"/>
  <c r="IV4" i="2"/>
  <c r="IW4" i="2" a="1"/>
  <c r="IW4" i="2"/>
  <c r="IX4" i="2" a="1"/>
  <c r="IX4" i="2"/>
  <c r="IY4" i="2" a="1"/>
  <c r="IY4" i="2"/>
  <c r="IZ4" i="2" a="1"/>
  <c r="IZ4" i="2"/>
  <c r="JA4" i="2" a="1"/>
  <c r="JA4" i="2"/>
  <c r="JB4" i="2" a="1"/>
  <c r="JB4" i="2"/>
  <c r="JC4" i="2" a="1"/>
  <c r="JC4" i="2"/>
  <c r="JD4" i="2" a="1"/>
  <c r="JD4" i="2"/>
  <c r="JE4" i="2" a="1"/>
  <c r="JE4" i="2"/>
  <c r="JF4" i="2" a="1"/>
  <c r="JF4" i="2"/>
  <c r="JG4" i="2" a="1"/>
  <c r="JG4" i="2"/>
  <c r="JH4" i="2" a="1"/>
  <c r="JH4" i="2"/>
  <c r="JI4" i="2" a="1"/>
  <c r="JI4" i="2"/>
  <c r="JJ4" i="2" a="1"/>
  <c r="JJ4" i="2"/>
  <c r="JK4" i="2" a="1"/>
  <c r="JK4" i="2"/>
  <c r="JL4" i="2" a="1"/>
  <c r="JL4" i="2"/>
  <c r="JM4" i="2" a="1"/>
  <c r="JM4" i="2"/>
  <c r="E12" i="8" a="1"/>
  <c r="E12" i="8"/>
  <c r="D13" i="8" a="1"/>
  <c r="D13" i="8"/>
  <c r="E13" i="8" a="1"/>
  <c r="E13" i="8"/>
  <c r="D14" i="8" a="1"/>
  <c r="D14" i="8"/>
  <c r="E14" i="8" a="1"/>
  <c r="E14" i="8"/>
  <c r="D15" i="8" a="1"/>
  <c r="D15" i="8"/>
  <c r="E15" i="8" a="1"/>
  <c r="E15" i="8"/>
  <c r="D16" i="8" a="1"/>
  <c r="D16" i="8"/>
  <c r="E16" i="8" a="1"/>
  <c r="E16" i="8"/>
  <c r="D17" i="8" a="1"/>
  <c r="D17" i="8"/>
  <c r="E17" i="8" a="1"/>
  <c r="E17" i="8"/>
  <c r="D18" i="8" a="1"/>
  <c r="D18" i="8"/>
  <c r="E18" i="8" a="1"/>
  <c r="E18" i="8"/>
  <c r="D19" i="8" a="1"/>
  <c r="D19" i="8"/>
  <c r="E19" i="8" a="1"/>
  <c r="E19" i="8"/>
  <c r="D20" i="8" a="1"/>
  <c r="D20" i="8"/>
  <c r="E20" i="8" a="1"/>
  <c r="E20" i="8"/>
  <c r="D21" i="8" a="1"/>
  <c r="D21" i="8"/>
  <c r="E21" i="8" a="1"/>
  <c r="E21" i="8"/>
  <c r="D22" i="8" a="1"/>
  <c r="D22" i="8"/>
  <c r="E22" i="8" a="1"/>
  <c r="E22" i="8"/>
  <c r="D23" i="8" a="1"/>
  <c r="D23" i="8"/>
  <c r="E23" i="8" a="1"/>
  <c r="E23" i="8"/>
  <c r="D24" i="8" a="1"/>
  <c r="D24" i="8"/>
  <c r="E24" i="8" a="1"/>
  <c r="E24" i="8"/>
  <c r="D25" i="8" a="1"/>
  <c r="D25" i="8"/>
  <c r="E25" i="8" a="1"/>
  <c r="E25" i="8"/>
  <c r="D26" i="8" a="1"/>
  <c r="D26" i="8"/>
  <c r="E26" i="8" a="1"/>
  <c r="E26" i="8"/>
  <c r="D27" i="8" a="1"/>
  <c r="D27" i="8"/>
  <c r="E27" i="8" a="1"/>
  <c r="E27" i="8"/>
  <c r="D28" i="8" a="1"/>
  <c r="D28" i="8"/>
  <c r="E28" i="8" a="1"/>
  <c r="E28" i="8"/>
  <c r="D29" i="8" a="1"/>
  <c r="D29" i="8"/>
  <c r="E29" i="8" a="1"/>
  <c r="E29" i="8"/>
  <c r="D30" i="8" a="1"/>
  <c r="D30" i="8"/>
  <c r="E30" i="8" a="1"/>
  <c r="E30" i="8"/>
  <c r="D31" i="8" a="1"/>
  <c r="D31" i="8"/>
  <c r="E31" i="8" a="1"/>
  <c r="E31" i="8"/>
  <c r="D32" i="8" a="1"/>
  <c r="D32" i="8"/>
  <c r="E32" i="8" a="1"/>
  <c r="E32" i="8"/>
  <c r="D33" i="8" a="1"/>
  <c r="D33" i="8"/>
  <c r="E33" i="8" a="1"/>
  <c r="E33" i="8"/>
  <c r="D34" i="8" a="1"/>
  <c r="D34" i="8"/>
  <c r="E34" i="8" a="1"/>
  <c r="E34" i="8"/>
  <c r="D35" i="8" a="1"/>
  <c r="D35" i="8"/>
  <c r="E35" i="8" a="1"/>
  <c r="E35" i="8"/>
  <c r="D36" i="8" a="1"/>
  <c r="D36" i="8"/>
  <c r="E36" i="8" a="1"/>
  <c r="E36" i="8"/>
  <c r="D37" i="8" a="1"/>
  <c r="D37" i="8"/>
  <c r="E37" i="8" a="1"/>
  <c r="E37" i="8"/>
  <c r="D38" i="8" a="1"/>
  <c r="D38" i="8"/>
  <c r="E38" i="8" a="1"/>
  <c r="E38" i="8"/>
  <c r="D39" i="8" a="1"/>
  <c r="D39" i="8"/>
  <c r="E39" i="8" a="1"/>
  <c r="E39" i="8"/>
  <c r="D40" i="8" a="1"/>
  <c r="D40" i="8"/>
  <c r="E40" i="8" a="1"/>
  <c r="E40" i="8"/>
  <c r="D41" i="8" a="1"/>
  <c r="D41" i="8"/>
  <c r="E41" i="8" a="1"/>
  <c r="E41" i="8"/>
  <c r="D42" i="8" a="1"/>
  <c r="D42" i="8"/>
  <c r="E42" i="8" a="1"/>
  <c r="E42" i="8"/>
  <c r="D43" i="8" a="1"/>
  <c r="D43" i="8"/>
  <c r="E43" i="8" a="1"/>
  <c r="E43" i="8"/>
  <c r="D44" i="8" a="1"/>
  <c r="D44" i="8"/>
  <c r="E44" i="8" a="1"/>
  <c r="E44" i="8"/>
  <c r="D45" i="8" a="1"/>
  <c r="D45" i="8"/>
  <c r="E45" i="8" a="1"/>
  <c r="E45" i="8"/>
  <c r="D46" i="8" a="1"/>
  <c r="D46" i="8"/>
  <c r="E46" i="8" a="1"/>
  <c r="E46" i="8"/>
  <c r="D47" i="8" a="1"/>
  <c r="D47" i="8"/>
  <c r="E47" i="8" a="1"/>
  <c r="E47" i="8"/>
  <c r="D48" i="8" a="1"/>
  <c r="D48" i="8"/>
  <c r="E48" i="8" a="1"/>
  <c r="E48" i="8"/>
  <c r="D49" i="8" a="1"/>
  <c r="D49" i="8"/>
  <c r="E49" i="8" a="1"/>
  <c r="E49" i="8"/>
  <c r="D50" i="8" a="1"/>
  <c r="D50" i="8"/>
  <c r="E50" i="8" a="1"/>
  <c r="E50" i="8"/>
  <c r="D51" i="8" a="1"/>
  <c r="D51" i="8"/>
  <c r="E51" i="8" a="1"/>
  <c r="E51" i="8"/>
  <c r="D52" i="8" a="1"/>
  <c r="D52" i="8"/>
  <c r="E52" i="8" a="1"/>
  <c r="E52" i="8"/>
  <c r="D53" i="8" a="1"/>
  <c r="D53" i="8"/>
  <c r="E53" i="8" a="1"/>
  <c r="E53" i="8"/>
  <c r="D54" i="8" a="1"/>
  <c r="D54" i="8"/>
  <c r="E54" i="8" a="1"/>
  <c r="E54" i="8"/>
  <c r="D55" i="8" a="1"/>
  <c r="D55" i="8"/>
  <c r="E55" i="8" a="1"/>
  <c r="E55" i="8"/>
  <c r="D56" i="8" a="1"/>
  <c r="D56" i="8"/>
  <c r="E56" i="8" a="1"/>
  <c r="E56" i="8"/>
  <c r="D57" i="8" a="1"/>
  <c r="D57" i="8"/>
  <c r="E57" i="8" a="1"/>
  <c r="E57" i="8"/>
  <c r="D58" i="8" a="1"/>
  <c r="D58" i="8"/>
  <c r="E58" i="8" a="1"/>
  <c r="E58" i="8"/>
  <c r="D59" i="8" a="1"/>
  <c r="D59" i="8"/>
  <c r="E59" i="8" a="1"/>
  <c r="E59" i="8"/>
  <c r="D60" i="8" a="1"/>
  <c r="D60" i="8"/>
  <c r="E60" i="8" a="1"/>
  <c r="E60" i="8"/>
  <c r="D61" i="8" a="1"/>
  <c r="D61" i="8"/>
  <c r="E61" i="8" a="1"/>
  <c r="E61" i="8"/>
  <c r="D62" i="8" a="1"/>
  <c r="D62" i="8"/>
  <c r="E62" i="8" a="1"/>
  <c r="E62" i="8"/>
  <c r="D63" i="8" a="1"/>
  <c r="D63" i="8"/>
  <c r="E63" i="8" a="1"/>
  <c r="E63" i="8"/>
  <c r="D64" i="8" a="1"/>
  <c r="D64" i="8"/>
  <c r="E64" i="8" a="1"/>
  <c r="E64" i="8"/>
  <c r="D65" i="8" a="1"/>
  <c r="D65" i="8"/>
  <c r="E65" i="8" a="1"/>
  <c r="E65" i="8"/>
  <c r="D66" i="8" a="1"/>
  <c r="D66" i="8"/>
  <c r="E66" i="8" a="1"/>
  <c r="E66" i="8"/>
  <c r="D67" i="8" a="1"/>
  <c r="D67" i="8"/>
  <c r="E67" i="8" a="1"/>
  <c r="E67" i="8"/>
  <c r="D68" i="8" a="1"/>
  <c r="D68" i="8"/>
  <c r="E68" i="8" a="1"/>
  <c r="E68" i="8"/>
  <c r="D7" i="8" a="1"/>
  <c r="D7" i="8"/>
  <c r="E7" i="8" a="1"/>
  <c r="E7" i="8"/>
  <c r="D6" i="9" a="1"/>
  <c r="D6" i="9"/>
  <c r="E6" i="9" a="1"/>
  <c r="E6" i="9"/>
  <c r="D8" i="9" a="1"/>
  <c r="D8" i="9"/>
  <c r="E8" i="9" a="1"/>
  <c r="E8" i="9"/>
  <c r="D9" i="9" a="1"/>
  <c r="D9" i="9"/>
  <c r="E9" i="9" a="1"/>
  <c r="E9" i="9"/>
  <c r="D10" i="9" a="1"/>
  <c r="D10" i="9"/>
  <c r="E10" i="9" a="1"/>
  <c r="E10" i="9"/>
  <c r="D11" i="9" a="1"/>
  <c r="D11" i="9"/>
  <c r="E11" i="9" a="1"/>
  <c r="E11" i="9"/>
  <c r="D12" i="9" a="1"/>
  <c r="D12" i="9"/>
  <c r="E12" i="9" a="1"/>
  <c r="E12" i="9"/>
  <c r="D13" i="9" a="1"/>
  <c r="D13" i="9"/>
  <c r="E13" i="9" a="1"/>
  <c r="E13" i="9"/>
  <c r="D14" i="9" a="1"/>
  <c r="D14" i="9"/>
  <c r="E14" i="9" a="1"/>
  <c r="E14" i="9"/>
  <c r="D15" i="9" a="1"/>
  <c r="D15" i="9"/>
  <c r="E15" i="9" a="1"/>
  <c r="E15" i="9"/>
  <c r="D16" i="9" a="1"/>
  <c r="D16" i="9"/>
  <c r="E16" i="9" a="1"/>
  <c r="E16" i="9"/>
  <c r="D17" i="9" a="1"/>
  <c r="D17" i="9"/>
  <c r="E17" i="9" a="1"/>
  <c r="E17" i="9"/>
  <c r="D18" i="9" a="1"/>
  <c r="D18" i="9"/>
  <c r="E18" i="9" a="1"/>
  <c r="E18" i="9"/>
  <c r="D19" i="9" a="1"/>
  <c r="D19" i="9"/>
  <c r="E19" i="9" a="1"/>
  <c r="E19" i="9"/>
  <c r="D20" i="9" a="1"/>
  <c r="D20" i="9"/>
  <c r="E20" i="9" a="1"/>
  <c r="E20" i="9"/>
  <c r="D21" i="9" a="1"/>
  <c r="D21" i="9"/>
  <c r="E21" i="9" a="1"/>
  <c r="E21" i="9"/>
  <c r="D22" i="9" a="1"/>
  <c r="D22" i="9"/>
  <c r="E22" i="9" a="1"/>
  <c r="E22" i="9"/>
  <c r="D23" i="9" a="1"/>
  <c r="D23" i="9"/>
  <c r="E23" i="9" a="1"/>
  <c r="E23" i="9"/>
  <c r="D24" i="9" a="1"/>
  <c r="D24" i="9"/>
  <c r="E24" i="9" a="1"/>
  <c r="E24" i="9"/>
  <c r="D25" i="9" a="1"/>
  <c r="D25" i="9"/>
  <c r="E25" i="9" a="1"/>
  <c r="E25" i="9"/>
  <c r="D26" i="9" a="1"/>
  <c r="D26" i="9"/>
  <c r="E26" i="9" a="1"/>
  <c r="E26" i="9"/>
  <c r="D27" i="9" a="1"/>
  <c r="D27" i="9"/>
  <c r="E27" i="9" a="1"/>
  <c r="E27" i="9"/>
  <c r="D28" i="9" a="1"/>
  <c r="D28" i="9"/>
  <c r="E28" i="9" a="1"/>
  <c r="E28" i="9"/>
  <c r="D29" i="9" a="1"/>
  <c r="D29" i="9"/>
  <c r="E29" i="9" a="1"/>
  <c r="E29" i="9"/>
  <c r="D30" i="9" a="1"/>
  <c r="D30" i="9"/>
  <c r="E30" i="9" a="1"/>
  <c r="E30" i="9"/>
  <c r="D31" i="9" a="1"/>
  <c r="D31" i="9"/>
  <c r="E31" i="9" a="1"/>
  <c r="E31" i="9"/>
  <c r="D32" i="9" a="1"/>
  <c r="D32" i="9"/>
  <c r="E32" i="9" a="1"/>
  <c r="E32" i="9"/>
  <c r="D33" i="9" a="1"/>
  <c r="D33" i="9"/>
  <c r="E33" i="9" a="1"/>
  <c r="E33" i="9"/>
  <c r="D34" i="9" a="1"/>
  <c r="D34" i="9"/>
  <c r="E34" i="9" a="1"/>
  <c r="E34" i="9"/>
  <c r="D35" i="9" a="1"/>
  <c r="D35" i="9"/>
  <c r="E35" i="9" a="1"/>
  <c r="E35" i="9"/>
  <c r="D36" i="9" a="1"/>
  <c r="D36" i="9"/>
  <c r="E36" i="9" a="1"/>
  <c r="E36" i="9"/>
  <c r="D37" i="9" a="1"/>
  <c r="D37" i="9"/>
  <c r="E37" i="9" a="1"/>
  <c r="E37" i="9"/>
  <c r="D38" i="9" a="1"/>
  <c r="D38" i="9"/>
  <c r="E38" i="9" a="1"/>
  <c r="E38" i="9"/>
  <c r="D39" i="9" a="1"/>
  <c r="D39" i="9"/>
  <c r="E39" i="9" a="1"/>
  <c r="E39" i="9"/>
  <c r="D40" i="9" a="1"/>
  <c r="D40" i="9"/>
  <c r="E40" i="9" a="1"/>
  <c r="E40" i="9"/>
  <c r="D41" i="9" a="1"/>
  <c r="D41" i="9"/>
  <c r="E41" i="9" a="1"/>
  <c r="E41" i="9"/>
  <c r="D42" i="9" a="1"/>
  <c r="D42" i="9"/>
  <c r="E42" i="9" a="1"/>
  <c r="E42" i="9"/>
  <c r="D43" i="9" a="1"/>
  <c r="D43" i="9"/>
  <c r="E43" i="9" a="1"/>
  <c r="E43" i="9"/>
  <c r="D44" i="9" a="1"/>
  <c r="D44" i="9"/>
  <c r="E44" i="9" a="1"/>
  <c r="E44" i="9"/>
  <c r="D45" i="9" a="1"/>
  <c r="D45" i="9"/>
  <c r="E45" i="9" a="1"/>
  <c r="E45" i="9"/>
  <c r="D46" i="9" a="1"/>
  <c r="D46" i="9"/>
  <c r="E46" i="9" a="1"/>
  <c r="E46" i="9"/>
  <c r="D47" i="9" a="1"/>
  <c r="D47" i="9"/>
  <c r="E47" i="9" a="1"/>
  <c r="E47" i="9"/>
  <c r="D48" i="9" a="1"/>
  <c r="D48" i="9"/>
  <c r="E48" i="9" a="1"/>
  <c r="E48" i="9"/>
  <c r="D49" i="9" a="1"/>
  <c r="D49" i="9"/>
  <c r="E49" i="9" a="1"/>
  <c r="E49" i="9"/>
  <c r="D50" i="9" a="1"/>
  <c r="D50" i="9"/>
  <c r="E50" i="9" a="1"/>
  <c r="E50" i="9"/>
  <c r="D51" i="9" a="1"/>
  <c r="D51" i="9"/>
  <c r="E51" i="9" a="1"/>
  <c r="E51" i="9"/>
  <c r="D52" i="9" a="1"/>
  <c r="D52" i="9"/>
  <c r="E52" i="9" a="1"/>
  <c r="E52" i="9"/>
  <c r="D53" i="9" a="1"/>
  <c r="D53" i="9"/>
  <c r="E53" i="9" a="1"/>
  <c r="E53" i="9"/>
  <c r="D54" i="9" a="1"/>
  <c r="D54" i="9"/>
  <c r="E54" i="9" a="1"/>
  <c r="E54" i="9"/>
  <c r="D55" i="9" a="1"/>
  <c r="D55" i="9"/>
  <c r="E55" i="9" a="1"/>
  <c r="E55" i="9"/>
  <c r="D56" i="9" a="1"/>
  <c r="D56" i="9"/>
  <c r="E56" i="9" a="1"/>
  <c r="E56" i="9"/>
  <c r="D57" i="9" a="1"/>
  <c r="D57" i="9"/>
  <c r="E57" i="9" a="1"/>
  <c r="E57" i="9"/>
  <c r="D58" i="9" a="1"/>
  <c r="D58" i="9"/>
  <c r="E58" i="9" a="1"/>
  <c r="E58" i="9"/>
  <c r="D59" i="9" a="1"/>
  <c r="D59" i="9"/>
  <c r="E59" i="9" a="1"/>
  <c r="E59" i="9"/>
  <c r="D60" i="9" a="1"/>
  <c r="D60" i="9"/>
  <c r="E60" i="9" a="1"/>
  <c r="E60" i="9"/>
  <c r="D61" i="9" a="1"/>
  <c r="D61" i="9"/>
  <c r="E61" i="9" a="1"/>
  <c r="E61" i="9"/>
  <c r="D62" i="9" a="1"/>
  <c r="D62" i="9"/>
  <c r="E62" i="9" a="1"/>
  <c r="E62" i="9"/>
  <c r="D63" i="9" a="1"/>
  <c r="D63" i="9"/>
  <c r="E63" i="9" a="1"/>
  <c r="E63" i="9"/>
  <c r="D64" i="9" a="1"/>
  <c r="D64" i="9"/>
  <c r="E64" i="9" a="1"/>
  <c r="E64" i="9"/>
  <c r="D65" i="9" a="1"/>
  <c r="D65" i="9"/>
  <c r="E65" i="9" a="1"/>
  <c r="E65" i="9"/>
  <c r="D66" i="9" a="1"/>
  <c r="D66" i="9"/>
  <c r="E66" i="9" a="1"/>
  <c r="E66" i="9"/>
  <c r="D67" i="9" a="1"/>
  <c r="D67" i="9"/>
  <c r="E67" i="9" a="1"/>
  <c r="E67" i="9"/>
  <c r="D68" i="9" a="1"/>
  <c r="D68" i="9"/>
  <c r="E68" i="9" a="1"/>
  <c r="E68" i="9"/>
  <c r="D7" i="9" a="1"/>
  <c r="D7" i="9"/>
  <c r="E7" i="9" a="1"/>
  <c r="E7" i="9"/>
  <c r="D7" i="10" a="1"/>
  <c r="D7" i="10"/>
  <c r="E7" i="10" a="1"/>
  <c r="E7" i="10"/>
  <c r="D8" i="10" a="1"/>
  <c r="D8" i="10"/>
  <c r="E8" i="10" a="1"/>
  <c r="E8" i="10"/>
  <c r="D9" i="10" a="1"/>
  <c r="D9" i="10"/>
  <c r="E9" i="10" a="1"/>
  <c r="E9" i="10"/>
  <c r="D10" i="10" a="1"/>
  <c r="D10" i="10"/>
  <c r="E10" i="10" a="1"/>
  <c r="E10" i="10"/>
  <c r="D11" i="10" a="1"/>
  <c r="D11" i="10"/>
  <c r="E11" i="10" a="1"/>
  <c r="E11" i="10"/>
  <c r="D12" i="10" a="1"/>
  <c r="D12" i="10"/>
  <c r="E12" i="10" a="1"/>
  <c r="E12" i="10"/>
  <c r="D13" i="10" a="1"/>
  <c r="D13" i="10"/>
  <c r="E13" i="10" a="1"/>
  <c r="E13" i="10"/>
  <c r="D14" i="10" a="1"/>
  <c r="D14" i="10"/>
  <c r="E14" i="10" a="1"/>
  <c r="E14" i="10"/>
  <c r="D15" i="10" a="1"/>
  <c r="D15" i="10"/>
  <c r="E15" i="10" a="1"/>
  <c r="E15" i="10"/>
  <c r="D16" i="10" a="1"/>
  <c r="D16" i="10"/>
  <c r="E16" i="10" a="1"/>
  <c r="E16" i="10"/>
  <c r="D17" i="10" a="1"/>
  <c r="D17" i="10"/>
  <c r="E17" i="10" a="1"/>
  <c r="E17" i="10"/>
  <c r="D18" i="10" a="1"/>
  <c r="D18" i="10"/>
  <c r="E18" i="10" a="1"/>
  <c r="E18" i="10"/>
  <c r="D19" i="10" a="1"/>
  <c r="D19" i="10"/>
  <c r="E19" i="10" a="1"/>
  <c r="E19" i="10"/>
  <c r="D20" i="10" a="1"/>
  <c r="D20" i="10"/>
  <c r="E20" i="10" a="1"/>
  <c r="E20" i="10"/>
  <c r="D21" i="10" a="1"/>
  <c r="D21" i="10"/>
  <c r="E21" i="10" a="1"/>
  <c r="E21" i="10"/>
  <c r="D22" i="10" a="1"/>
  <c r="D22" i="10"/>
  <c r="E22" i="10" a="1"/>
  <c r="E22" i="10"/>
  <c r="D23" i="10" a="1"/>
  <c r="D23" i="10"/>
  <c r="E23" i="10" a="1"/>
  <c r="E23" i="10"/>
  <c r="D24" i="10" a="1"/>
  <c r="D24" i="10"/>
  <c r="E24" i="10" a="1"/>
  <c r="E24" i="10"/>
  <c r="D25" i="10" a="1"/>
  <c r="D25" i="10"/>
  <c r="E25" i="10" a="1"/>
  <c r="E25" i="10"/>
  <c r="D26" i="10" a="1"/>
  <c r="D26" i="10"/>
  <c r="E26" i="10" a="1"/>
  <c r="E26" i="10"/>
  <c r="D27" i="10" a="1"/>
  <c r="D27" i="10"/>
  <c r="E27" i="10" a="1"/>
  <c r="E27" i="10"/>
  <c r="D28" i="10" a="1"/>
  <c r="D28" i="10"/>
  <c r="E28" i="10" a="1"/>
  <c r="E28" i="10"/>
  <c r="D29" i="10" a="1"/>
  <c r="D29" i="10"/>
  <c r="E29" i="10" a="1"/>
  <c r="E29" i="10"/>
  <c r="D30" i="10" a="1"/>
  <c r="D30" i="10"/>
  <c r="E30" i="10" a="1"/>
  <c r="E30" i="10"/>
  <c r="D31" i="10" a="1"/>
  <c r="D31" i="10"/>
  <c r="E31" i="10" a="1"/>
  <c r="E31" i="10"/>
  <c r="D32" i="10" a="1"/>
  <c r="D32" i="10"/>
  <c r="E32" i="10" a="1"/>
  <c r="E32" i="10"/>
  <c r="D33" i="10" a="1"/>
  <c r="D33" i="10"/>
  <c r="E33" i="10" a="1"/>
  <c r="E33" i="10"/>
  <c r="D34" i="10" a="1"/>
  <c r="D34" i="10"/>
  <c r="E34" i="10" a="1"/>
  <c r="E34" i="10"/>
  <c r="D35" i="10" a="1"/>
  <c r="D35" i="10"/>
  <c r="E35" i="10" a="1"/>
  <c r="E35" i="10"/>
  <c r="D36" i="10" a="1"/>
  <c r="D36" i="10"/>
  <c r="E36" i="10" a="1"/>
  <c r="E36" i="10"/>
  <c r="D37" i="10" a="1"/>
  <c r="D37" i="10"/>
  <c r="E37" i="10" a="1"/>
  <c r="E37" i="10"/>
  <c r="D38" i="10" a="1"/>
  <c r="D38" i="10"/>
  <c r="E38" i="10" a="1"/>
  <c r="E38" i="10"/>
  <c r="D39" i="10" a="1"/>
  <c r="D39" i="10"/>
  <c r="E39" i="10" a="1"/>
  <c r="E39" i="10"/>
  <c r="D40" i="10" a="1"/>
  <c r="D40" i="10"/>
  <c r="E40" i="10" a="1"/>
  <c r="E40" i="10"/>
  <c r="D41" i="10" a="1"/>
  <c r="D41" i="10"/>
  <c r="E41" i="10" a="1"/>
  <c r="E41" i="10"/>
  <c r="D42" i="10" a="1"/>
  <c r="D42" i="10"/>
  <c r="E42" i="10" a="1"/>
  <c r="E42" i="10"/>
  <c r="D43" i="10" a="1"/>
  <c r="D43" i="10"/>
  <c r="E43" i="10" a="1"/>
  <c r="E43" i="10"/>
  <c r="D44" i="10" a="1"/>
  <c r="D44" i="10"/>
  <c r="E44" i="10" a="1"/>
  <c r="E44" i="10"/>
  <c r="D45" i="10" a="1"/>
  <c r="D45" i="10"/>
  <c r="E45" i="10" a="1"/>
  <c r="E45" i="10"/>
  <c r="D46" i="10" a="1"/>
  <c r="D46" i="10"/>
  <c r="E46" i="10" a="1"/>
  <c r="E46" i="10"/>
  <c r="D47" i="10" a="1"/>
  <c r="D47" i="10"/>
  <c r="E47" i="10" a="1"/>
  <c r="E47" i="10"/>
  <c r="D48" i="10" a="1"/>
  <c r="D48" i="10"/>
  <c r="E48" i="10" a="1"/>
  <c r="E48" i="10"/>
  <c r="D49" i="10" a="1"/>
  <c r="D49" i="10"/>
  <c r="E49" i="10" a="1"/>
  <c r="E49" i="10"/>
  <c r="D50" i="10" a="1"/>
  <c r="D50" i="10"/>
  <c r="E50" i="10" a="1"/>
  <c r="E50" i="10"/>
  <c r="D51" i="10" a="1"/>
  <c r="D51" i="10"/>
  <c r="E51" i="10" a="1"/>
  <c r="E51" i="10"/>
  <c r="D52" i="10" a="1"/>
  <c r="D52" i="10"/>
  <c r="E52" i="10" a="1"/>
  <c r="E52" i="10"/>
  <c r="D53" i="10" a="1"/>
  <c r="D53" i="10"/>
  <c r="E53" i="10" a="1"/>
  <c r="E53" i="10"/>
  <c r="D54" i="10" a="1"/>
  <c r="D54" i="10"/>
  <c r="E54" i="10" a="1"/>
  <c r="E54" i="10"/>
  <c r="D55" i="10" a="1"/>
  <c r="D55" i="10"/>
  <c r="E55" i="10" a="1"/>
  <c r="E55" i="10"/>
  <c r="D56" i="10" a="1"/>
  <c r="D56" i="10"/>
  <c r="E56" i="10" a="1"/>
  <c r="E56" i="10"/>
  <c r="D57" i="10" a="1"/>
  <c r="D57" i="10"/>
  <c r="E57" i="10" a="1"/>
  <c r="E57" i="10"/>
  <c r="D58" i="10" a="1"/>
  <c r="D58" i="10"/>
  <c r="E58" i="10" a="1"/>
  <c r="E58" i="10"/>
  <c r="D59" i="10" a="1"/>
  <c r="D59" i="10"/>
  <c r="E59" i="10" a="1"/>
  <c r="E59" i="10"/>
  <c r="D60" i="10" a="1"/>
  <c r="D60" i="10"/>
  <c r="E60" i="10" a="1"/>
  <c r="E60" i="10"/>
  <c r="D61" i="10" a="1"/>
  <c r="D61" i="10"/>
  <c r="E61" i="10" a="1"/>
  <c r="E61" i="10"/>
  <c r="D62" i="10" a="1"/>
  <c r="D62" i="10"/>
  <c r="E62" i="10" a="1"/>
  <c r="E62" i="10"/>
  <c r="D63" i="10" a="1"/>
  <c r="D63" i="10"/>
  <c r="E63" i="10" a="1"/>
  <c r="E63" i="10"/>
  <c r="D64" i="10" a="1"/>
  <c r="D64" i="10"/>
  <c r="E64" i="10" a="1"/>
  <c r="E64" i="10"/>
  <c r="D65" i="10" a="1"/>
  <c r="D65" i="10"/>
  <c r="E65" i="10" a="1"/>
  <c r="E65" i="10"/>
  <c r="D66" i="10" a="1"/>
  <c r="D66" i="10"/>
  <c r="E66" i="10" a="1"/>
  <c r="E66" i="10"/>
  <c r="D67" i="10" a="1"/>
  <c r="D67" i="10"/>
  <c r="E67" i="10" a="1"/>
  <c r="E67" i="10"/>
  <c r="D68" i="10" a="1"/>
  <c r="D68" i="10"/>
  <c r="E68" i="10" a="1"/>
  <c r="E68" i="10"/>
  <c r="D6" i="10" a="1"/>
  <c r="D6" i="10"/>
  <c r="E6" i="10" a="1"/>
  <c r="E6" i="10"/>
  <c r="D141" i="2"/>
  <c r="D142" i="2"/>
  <c r="D140" i="2"/>
  <c r="D138" i="2"/>
  <c r="D139" i="2"/>
  <c r="D136" i="2"/>
  <c r="D137" i="2"/>
  <c r="D38" i="2"/>
  <c r="D37" i="2"/>
  <c r="D39" i="2"/>
  <c r="D135" i="2"/>
  <c r="DM11" i="2"/>
  <c r="DN11" i="2"/>
  <c r="DO11" i="2"/>
  <c r="DP11" i="2"/>
  <c r="DQ11" i="2"/>
  <c r="DR11" i="2"/>
  <c r="DS11" i="2"/>
  <c r="DT11" i="2"/>
  <c r="DU11" i="2"/>
  <c r="DV11" i="2"/>
  <c r="DW11" i="2"/>
  <c r="DX11" i="2"/>
  <c r="DY11" i="2"/>
  <c r="DZ11" i="2"/>
  <c r="EA11" i="2"/>
  <c r="EB11" i="2"/>
  <c r="EC11" i="2"/>
  <c r="ED11" i="2"/>
  <c r="EE11" i="2"/>
  <c r="EF11" i="2"/>
  <c r="EG11" i="2"/>
  <c r="EH11" i="2"/>
  <c r="EI11" i="2"/>
  <c r="EJ11" i="2"/>
  <c r="EK11" i="2"/>
  <c r="EL11" i="2"/>
  <c r="EM11" i="2"/>
  <c r="EN11" i="2"/>
  <c r="EO11" i="2"/>
  <c r="EP11" i="2"/>
  <c r="EQ11" i="2"/>
  <c r="ER11" i="2"/>
  <c r="ES11" i="2"/>
  <c r="ET11" i="2"/>
  <c r="EU11" i="2"/>
  <c r="EV11" i="2"/>
  <c r="EW11" i="2"/>
  <c r="EX11" i="2"/>
  <c r="EY11" i="2"/>
  <c r="EZ11" i="2"/>
  <c r="FA11" i="2"/>
  <c r="FB11" i="2"/>
  <c r="FC11" i="2"/>
  <c r="FD11" i="2"/>
  <c r="FE11" i="2"/>
  <c r="FF11" i="2"/>
  <c r="FG11" i="2"/>
  <c r="FH11" i="2"/>
  <c r="FI11" i="2"/>
  <c r="FJ11" i="2"/>
  <c r="FK11" i="2"/>
  <c r="FL11" i="2"/>
  <c r="FM11" i="2"/>
  <c r="FN11" i="2"/>
  <c r="FO11" i="2"/>
  <c r="FP11" i="2"/>
  <c r="FQ11" i="2"/>
  <c r="FR11" i="2"/>
  <c r="FS11" i="2"/>
  <c r="FT11" i="2"/>
  <c r="FU11" i="2"/>
  <c r="FV11" i="2"/>
  <c r="FW11" i="2"/>
  <c r="FX11" i="2"/>
  <c r="FY11" i="2"/>
  <c r="FZ11" i="2"/>
  <c r="GA11" i="2"/>
  <c r="GB11" i="2"/>
  <c r="GC11" i="2"/>
  <c r="GD11" i="2"/>
  <c r="GE11" i="2"/>
  <c r="GF11" i="2"/>
  <c r="GG11" i="2"/>
  <c r="GH11" i="2"/>
  <c r="GI11" i="2"/>
  <c r="GJ11" i="2"/>
  <c r="GK11" i="2"/>
  <c r="GL11" i="2"/>
  <c r="GM11" i="2"/>
  <c r="GN11" i="2"/>
  <c r="GO11" i="2"/>
  <c r="GP11" i="2"/>
  <c r="GQ11" i="2"/>
  <c r="GR11" i="2"/>
  <c r="GS11" i="2"/>
  <c r="GT11" i="2"/>
  <c r="GU11" i="2"/>
  <c r="GV11" i="2"/>
  <c r="GW11" i="2"/>
  <c r="GX11" i="2"/>
  <c r="GY11" i="2"/>
  <c r="GZ11" i="2"/>
  <c r="HA11" i="2"/>
  <c r="HB11" i="2"/>
  <c r="HC11" i="2"/>
  <c r="HD11" i="2"/>
  <c r="HE11" i="2"/>
  <c r="HF11" i="2"/>
  <c r="HG11" i="2"/>
  <c r="HH11" i="2"/>
  <c r="HI11" i="2"/>
  <c r="HJ11" i="2"/>
  <c r="HK11" i="2"/>
  <c r="HL11" i="2"/>
  <c r="HM11" i="2"/>
  <c r="HN11" i="2"/>
  <c r="HO11" i="2"/>
  <c r="HP11" i="2"/>
  <c r="HQ11" i="2"/>
  <c r="HR11" i="2"/>
  <c r="HS11" i="2"/>
  <c r="HT11" i="2"/>
  <c r="HU11" i="2"/>
  <c r="HV11" i="2"/>
  <c r="HW11" i="2"/>
  <c r="HX11" i="2"/>
  <c r="HY11" i="2"/>
  <c r="HZ11" i="2"/>
  <c r="IA11" i="2"/>
  <c r="IB11" i="2"/>
  <c r="IC11" i="2"/>
  <c r="ID11" i="2"/>
  <c r="IE11" i="2"/>
  <c r="IF11" i="2"/>
  <c r="IG11" i="2"/>
  <c r="IH11" i="2"/>
  <c r="II11" i="2"/>
  <c r="IJ11" i="2"/>
  <c r="IK11" i="2"/>
  <c r="IL11" i="2"/>
  <c r="IM11" i="2"/>
  <c r="IN11" i="2"/>
  <c r="IO11" i="2"/>
  <c r="IP11" i="2"/>
  <c r="IQ11" i="2"/>
  <c r="IR11" i="2"/>
  <c r="IS11" i="2"/>
  <c r="IT11" i="2"/>
  <c r="IU11" i="2"/>
  <c r="IV11" i="2"/>
  <c r="IW11" i="2"/>
  <c r="IX11" i="2"/>
  <c r="IY11" i="2"/>
  <c r="IZ11" i="2"/>
  <c r="JA11" i="2"/>
  <c r="JB11" i="2"/>
  <c r="JC11" i="2"/>
  <c r="JD11" i="2"/>
  <c r="JE11" i="2"/>
  <c r="JF11" i="2"/>
  <c r="JG11" i="2"/>
  <c r="JH11" i="2"/>
  <c r="JI11" i="2"/>
  <c r="JJ11" i="2"/>
  <c r="JK11" i="2"/>
  <c r="JL11" i="2"/>
  <c r="JM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DB11" i="2"/>
  <c r="DC11" i="2"/>
  <c r="DD11" i="2"/>
  <c r="DE11" i="2"/>
  <c r="DF11" i="2"/>
  <c r="DG11" i="2"/>
  <c r="DH11" i="2"/>
  <c r="DI11" i="2"/>
  <c r="DJ11" i="2"/>
  <c r="DK11" i="2"/>
  <c r="DL11" i="2"/>
  <c r="E11" i="2"/>
  <c r="D131" i="2"/>
  <c r="D132" i="2"/>
  <c r="D133" i="2"/>
  <c r="D134" i="2"/>
  <c r="D33" i="2"/>
  <c r="D34" i="2"/>
  <c r="D35" i="2"/>
  <c r="D36" i="2"/>
  <c r="D40" i="2"/>
  <c r="D41" i="2"/>
  <c r="D42" i="2"/>
  <c r="D43" i="2"/>
  <c r="D44" i="2"/>
  <c r="D129" i="2"/>
  <c r="D130" i="2"/>
  <c r="D127" i="2"/>
  <c r="D128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2" i="11"/>
  <c r="D2" i="10"/>
  <c r="D6" i="8" a="1"/>
  <c r="D6" i="8"/>
  <c r="D2" i="9"/>
  <c r="E6" i="8" a="1"/>
  <c r="E6" i="8"/>
  <c r="D2" i="8"/>
  <c r="EZ5" i="2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2" i="5"/>
  <c r="J63" i="5"/>
  <c r="J64" i="5"/>
  <c r="J65" i="5"/>
  <c r="J66" i="5"/>
  <c r="J67" i="5"/>
  <c r="J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5" i="5"/>
  <c r="K31" i="5" a="1"/>
  <c r="K31" i="5"/>
  <c r="K7" i="5" a="1"/>
  <c r="K7" i="5"/>
  <c r="K8" i="5" a="1"/>
  <c r="K8" i="5"/>
  <c r="K9" i="5" a="1"/>
  <c r="K9" i="5"/>
  <c r="K10" i="5" a="1"/>
  <c r="K10" i="5"/>
  <c r="K11" i="5" a="1"/>
  <c r="K11" i="5"/>
  <c r="K12" i="5" a="1"/>
  <c r="K12" i="5"/>
  <c r="K13" i="5" a="1"/>
  <c r="K13" i="5"/>
  <c r="K14" i="5" a="1"/>
  <c r="K14" i="5"/>
  <c r="K15" i="5" a="1"/>
  <c r="K15" i="5"/>
  <c r="K16" i="5" a="1"/>
  <c r="K16" i="5"/>
  <c r="K17" i="5" a="1"/>
  <c r="K17" i="5"/>
  <c r="K18" i="5" a="1"/>
  <c r="K18" i="5"/>
  <c r="K19" i="5" a="1"/>
  <c r="K19" i="5"/>
  <c r="K20" i="5" a="1"/>
  <c r="K20" i="5"/>
  <c r="K21" i="5" a="1"/>
  <c r="K21" i="5"/>
  <c r="K22" i="5" a="1"/>
  <c r="K22" i="5"/>
  <c r="K23" i="5" a="1"/>
  <c r="K23" i="5"/>
  <c r="K24" i="5" a="1"/>
  <c r="K24" i="5"/>
  <c r="K25" i="5" a="1"/>
  <c r="K25" i="5"/>
  <c r="K26" i="5" a="1"/>
  <c r="K26" i="5"/>
  <c r="K27" i="5" a="1"/>
  <c r="K27" i="5"/>
  <c r="K28" i="5" a="1"/>
  <c r="K28" i="5"/>
  <c r="K29" i="5" a="1"/>
  <c r="K29" i="5"/>
  <c r="K30" i="5" a="1"/>
  <c r="K30" i="5"/>
  <c r="K32" i="5" a="1"/>
  <c r="K32" i="5"/>
  <c r="K33" i="5" a="1"/>
  <c r="K33" i="5"/>
  <c r="K34" i="5" a="1"/>
  <c r="K34" i="5"/>
  <c r="K35" i="5" a="1"/>
  <c r="K35" i="5"/>
  <c r="K36" i="5" a="1"/>
  <c r="K36" i="5"/>
  <c r="K37" i="5" a="1"/>
  <c r="K37" i="5"/>
  <c r="K38" i="5" a="1"/>
  <c r="K38" i="5"/>
  <c r="K39" i="5" a="1"/>
  <c r="K39" i="5"/>
  <c r="K40" i="5" a="1"/>
  <c r="K40" i="5"/>
  <c r="K41" i="5" a="1"/>
  <c r="K41" i="5"/>
  <c r="K42" i="5" a="1"/>
  <c r="K42" i="5"/>
  <c r="K43" i="5" a="1"/>
  <c r="K43" i="5"/>
  <c r="K44" i="5" a="1"/>
  <c r="K44" i="5"/>
  <c r="K45" i="5" a="1"/>
  <c r="K45" i="5"/>
  <c r="K46" i="5" a="1"/>
  <c r="K46" i="5"/>
  <c r="K47" i="5" a="1"/>
  <c r="K47" i="5"/>
  <c r="K48" i="5" a="1"/>
  <c r="K48" i="5"/>
  <c r="K49" i="5" a="1"/>
  <c r="K49" i="5"/>
  <c r="K50" i="5" a="1"/>
  <c r="K50" i="5"/>
  <c r="K51" i="5" a="1"/>
  <c r="K51" i="5"/>
  <c r="K52" i="5" a="1"/>
  <c r="K52" i="5"/>
  <c r="K53" i="5" a="1"/>
  <c r="K53" i="5"/>
  <c r="K54" i="5" a="1"/>
  <c r="K54" i="5"/>
  <c r="K55" i="5" a="1"/>
  <c r="K55" i="5"/>
  <c r="K56" i="5" a="1"/>
  <c r="K56" i="5"/>
  <c r="K57" i="5" a="1"/>
  <c r="K57" i="5"/>
  <c r="K58" i="5" a="1"/>
  <c r="K58" i="5"/>
  <c r="K59" i="5" a="1"/>
  <c r="K59" i="5"/>
  <c r="K60" i="5" a="1"/>
  <c r="K60" i="5"/>
  <c r="K61" i="5" a="1"/>
  <c r="K61" i="5"/>
  <c r="K62" i="5" a="1"/>
  <c r="K62" i="5"/>
  <c r="K63" i="5" a="1"/>
  <c r="K63" i="5"/>
  <c r="K64" i="5" a="1"/>
  <c r="K64" i="5"/>
  <c r="K65" i="5" a="1"/>
  <c r="K65" i="5"/>
  <c r="K66" i="5" a="1"/>
  <c r="K66" i="5"/>
  <c r="K67" i="5" a="1"/>
  <c r="K67" i="5"/>
  <c r="K5" i="5" a="1"/>
  <c r="K5" i="5"/>
  <c r="K6" i="5" a="1"/>
  <c r="K6" i="5"/>
  <c r="Q2" i="5"/>
  <c r="J2" i="5"/>
  <c r="D2" i="5"/>
  <c r="E10" i="5" a="1"/>
  <c r="E10" i="5"/>
  <c r="X2" i="5"/>
  <c r="R5" i="5"/>
  <c r="R6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9" i="5"/>
  <c r="R8" i="5"/>
  <c r="R7" i="5"/>
  <c r="E6" i="5" a="1"/>
  <c r="E6" i="5"/>
  <c r="E7" i="5" a="1"/>
  <c r="E7" i="5"/>
  <c r="E9" i="5" a="1"/>
  <c r="E9" i="5"/>
  <c r="E11" i="5" a="1"/>
  <c r="E11" i="5"/>
  <c r="E12" i="5" a="1"/>
  <c r="E12" i="5"/>
  <c r="E13" i="5" a="1"/>
  <c r="E13" i="5"/>
  <c r="E14" i="5" a="1"/>
  <c r="E14" i="5"/>
  <c r="E15" i="5" a="1"/>
  <c r="E15" i="5"/>
  <c r="E16" i="5" a="1"/>
  <c r="E16" i="5"/>
  <c r="E17" i="5" a="1"/>
  <c r="E17" i="5"/>
  <c r="E18" i="5" a="1"/>
  <c r="E18" i="5"/>
  <c r="E19" i="5" a="1"/>
  <c r="E19" i="5"/>
  <c r="E20" i="5" a="1"/>
  <c r="E20" i="5"/>
  <c r="E21" i="5" a="1"/>
  <c r="E21" i="5"/>
  <c r="E22" i="5" a="1"/>
  <c r="E22" i="5"/>
  <c r="E23" i="5" a="1"/>
  <c r="E23" i="5"/>
  <c r="E24" i="5" a="1"/>
  <c r="E24" i="5"/>
  <c r="E25" i="5" a="1"/>
  <c r="E25" i="5"/>
  <c r="E26" i="5" a="1"/>
  <c r="E26" i="5"/>
  <c r="E27" i="5" a="1"/>
  <c r="E27" i="5"/>
  <c r="E28" i="5" a="1"/>
  <c r="E28" i="5"/>
  <c r="E29" i="5" a="1"/>
  <c r="E29" i="5"/>
  <c r="E30" i="5" a="1"/>
  <c r="E30" i="5"/>
  <c r="E31" i="5" a="1"/>
  <c r="E31" i="5"/>
  <c r="E32" i="5" a="1"/>
  <c r="E32" i="5"/>
  <c r="E33" i="5" a="1"/>
  <c r="E33" i="5"/>
  <c r="E34" i="5" a="1"/>
  <c r="E34" i="5"/>
  <c r="E35" i="5" a="1"/>
  <c r="E35" i="5"/>
  <c r="E36" i="5" a="1"/>
  <c r="E36" i="5"/>
  <c r="E37" i="5" a="1"/>
  <c r="E37" i="5"/>
  <c r="E38" i="5" a="1"/>
  <c r="E38" i="5"/>
  <c r="E39" i="5" a="1"/>
  <c r="E39" i="5"/>
  <c r="E40" i="5" a="1"/>
  <c r="E40" i="5"/>
  <c r="E41" i="5" a="1"/>
  <c r="E41" i="5"/>
  <c r="E42" i="5" a="1"/>
  <c r="E42" i="5"/>
  <c r="E43" i="5" a="1"/>
  <c r="E43" i="5"/>
  <c r="E44" i="5" a="1"/>
  <c r="E44" i="5"/>
  <c r="E45" i="5" a="1"/>
  <c r="E45" i="5"/>
  <c r="E46" i="5" a="1"/>
  <c r="E46" i="5"/>
  <c r="E47" i="5" a="1"/>
  <c r="E47" i="5"/>
  <c r="E48" i="5" a="1"/>
  <c r="E48" i="5"/>
  <c r="E49" i="5" a="1"/>
  <c r="E49" i="5"/>
  <c r="E50" i="5" a="1"/>
  <c r="E50" i="5"/>
  <c r="E51" i="5" a="1"/>
  <c r="E51" i="5"/>
  <c r="E5" i="5" a="1"/>
  <c r="E5" i="5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13" i="2"/>
</calcChain>
</file>

<file path=xl/sharedStrings.xml><?xml version="1.0" encoding="utf-8"?>
<sst xmlns="http://schemas.openxmlformats.org/spreadsheetml/2006/main" count="2894" uniqueCount="606">
  <si>
    <t>Category</t>
  </si>
  <si>
    <t>Setting Square Sails</t>
    <phoneticPr fontId="2" type="noConversion"/>
  </si>
  <si>
    <t>Handing Square Sails</t>
    <phoneticPr fontId="2" type="noConversion"/>
  </si>
  <si>
    <t>Bracing</t>
    <phoneticPr fontId="2" type="noConversion"/>
  </si>
  <si>
    <t>Setting Stay Sails</t>
    <phoneticPr fontId="2" type="noConversion"/>
  </si>
  <si>
    <t>Weathering Stay Sails</t>
    <phoneticPr fontId="2" type="noConversion"/>
  </si>
  <si>
    <t>Handing Stay Sails</t>
    <phoneticPr fontId="2" type="noConversion"/>
  </si>
  <si>
    <t>Mizzen Sail Handling</t>
    <phoneticPr fontId="2" type="noConversion"/>
  </si>
  <si>
    <t>Special Sea Duties</t>
    <phoneticPr fontId="2" type="noConversion"/>
  </si>
  <si>
    <t>Berthing and Unberthing</t>
  </si>
  <si>
    <t>Emergency situations</t>
  </si>
  <si>
    <t>Engineering</t>
  </si>
  <si>
    <t>Hospitality</t>
  </si>
  <si>
    <t>Evolution</t>
  </si>
  <si>
    <t>Fore Course</t>
  </si>
  <si>
    <t>Fore/Main Lower Topsail</t>
    <phoneticPr fontId="2" type="noConversion"/>
  </si>
  <si>
    <t>Fore/Main Upper Topsail</t>
    <phoneticPr fontId="2" type="noConversion"/>
  </si>
  <si>
    <t>Fore/Main Topgallant</t>
    <phoneticPr fontId="2" type="noConversion"/>
  </si>
  <si>
    <t>Fore/Main Royal</t>
    <phoneticPr fontId="2" type="noConversion"/>
  </si>
  <si>
    <t>Bracing Yards</t>
    <phoneticPr fontId="2" type="noConversion"/>
  </si>
  <si>
    <t>Headsails</t>
    <phoneticPr fontId="2" type="noConversion"/>
  </si>
  <si>
    <t>Main topmast or Mizzen Cap staysail</t>
    <phoneticPr fontId="2" type="noConversion"/>
  </si>
  <si>
    <t>Other staysails</t>
    <phoneticPr fontId="2" type="noConversion"/>
  </si>
  <si>
    <t>Headsails</t>
  </si>
  <si>
    <t>Other staysails</t>
  </si>
  <si>
    <t>Move the spanker boom</t>
    <phoneticPr fontId="2" type="noConversion"/>
  </si>
  <si>
    <t>Set the Spanker</t>
    <phoneticPr fontId="2" type="noConversion"/>
  </si>
  <si>
    <t>Hand the Spanker</t>
    <phoneticPr fontId="2" type="noConversion"/>
  </si>
  <si>
    <t>Set the Gaff Topsail</t>
    <phoneticPr fontId="2" type="noConversion"/>
  </si>
  <si>
    <t>Hand the Gaff Topsail</t>
    <phoneticPr fontId="2" type="noConversion"/>
  </si>
  <si>
    <t>Weather the Gaff Topsail</t>
    <phoneticPr fontId="2" type="noConversion"/>
  </si>
  <si>
    <t>Helming Ship</t>
    <phoneticPr fontId="2" type="noConversion"/>
  </si>
  <si>
    <t>Fire Patrol</t>
    <phoneticPr fontId="2" type="noConversion"/>
  </si>
  <si>
    <t>Forward Lookout</t>
    <phoneticPr fontId="2" type="noConversion"/>
  </si>
  <si>
    <t>Stern Lookout</t>
    <phoneticPr fontId="2" type="noConversion"/>
  </si>
  <si>
    <t>Forward Lookout in Harbour</t>
  </si>
  <si>
    <t>Seaboat Coxain &amp; Crew</t>
  </si>
  <si>
    <t>Berth the ship along-side</t>
  </si>
  <si>
    <t>Connect/disconnect the gangway</t>
  </si>
  <si>
    <t>Fight a fire</t>
  </si>
  <si>
    <t>Abandon Ship</t>
  </si>
  <si>
    <t>Collision</t>
  </si>
  <si>
    <t>Engine Failure</t>
  </si>
  <si>
    <t>Chief Engineer</t>
  </si>
  <si>
    <t>Bosun</t>
  </si>
  <si>
    <t>Operate QD Console</t>
  </si>
  <si>
    <t>Tasks</t>
  </si>
  <si>
    <t>Handle Clew Garnets</t>
    <phoneticPr fontId="2" type="noConversion"/>
  </si>
  <si>
    <t>Handle Leechlines</t>
    <phoneticPr fontId="2" type="noConversion"/>
  </si>
  <si>
    <t>Handle Buntlines</t>
    <phoneticPr fontId="2" type="noConversion"/>
  </si>
  <si>
    <t>Handle Tacks</t>
    <phoneticPr fontId="2" type="noConversion"/>
  </si>
  <si>
    <t>Handle Sheets</t>
    <phoneticPr fontId="2" type="noConversion"/>
  </si>
  <si>
    <t>Handle Lifts</t>
    <phoneticPr fontId="2" type="noConversion"/>
  </si>
  <si>
    <t>Call Evolution</t>
    <phoneticPr fontId="2" type="noConversion"/>
  </si>
  <si>
    <t>Handle Clews</t>
    <phoneticPr fontId="2" type="noConversion"/>
  </si>
  <si>
    <t>Handle Downhauls</t>
    <phoneticPr fontId="2" type="noConversion"/>
  </si>
  <si>
    <t>Handle Lee Brace</t>
    <phoneticPr fontId="2" type="noConversion"/>
  </si>
  <si>
    <t>Handle Halyard</t>
    <phoneticPr fontId="2" type="noConversion"/>
  </si>
  <si>
    <t>Ease Topgallant Sheets</t>
    <phoneticPr fontId="2" type="noConversion"/>
  </si>
  <si>
    <t>Ease Royal Sheets</t>
    <phoneticPr fontId="2" type="noConversion"/>
  </si>
  <si>
    <t>Handle Clewlines</t>
    <phoneticPr fontId="2" type="noConversion"/>
  </si>
  <si>
    <t>Handle Course lifts</t>
    <phoneticPr fontId="2" type="noConversion"/>
  </si>
  <si>
    <t>Handle Course Tack</t>
    <phoneticPr fontId="2" type="noConversion"/>
  </si>
  <si>
    <t>Handle Course Sheet</t>
    <phoneticPr fontId="2" type="noConversion"/>
  </si>
  <si>
    <t>Handle Easing Lower Braces</t>
    <phoneticPr fontId="2" type="noConversion"/>
  </si>
  <si>
    <t>Handle Hauling Lower Braces</t>
    <phoneticPr fontId="2" type="noConversion"/>
  </si>
  <si>
    <t>Handle Topgallant Braces</t>
    <phoneticPr fontId="2" type="noConversion"/>
  </si>
  <si>
    <t>Handle Royal Braces</t>
    <phoneticPr fontId="2" type="noConversion"/>
  </si>
  <si>
    <t>Handle Downhaul</t>
    <phoneticPr fontId="2" type="noConversion"/>
  </si>
  <si>
    <t>Handle Lee Sheet</t>
    <phoneticPr fontId="2" type="noConversion"/>
  </si>
  <si>
    <t>Handle Weather (lazy) Sheet</t>
    <phoneticPr fontId="2" type="noConversion"/>
  </si>
  <si>
    <t>Call evolution</t>
    <phoneticPr fontId="2" type="noConversion"/>
  </si>
  <si>
    <t>Handle Clewline</t>
    <phoneticPr fontId="2" type="noConversion"/>
  </si>
  <si>
    <t>Handle Downhaul</t>
  </si>
  <si>
    <t>Handle Lee Sheet</t>
  </si>
  <si>
    <t>Handle Halyard</t>
  </si>
  <si>
    <t>Call evolution</t>
  </si>
  <si>
    <t>Handle Clewline</t>
  </si>
  <si>
    <t>Handle Weather Sheet</t>
  </si>
  <si>
    <t>Handle Boom Preventers</t>
    <phoneticPr fontId="2" type="noConversion"/>
  </si>
  <si>
    <t>Handle Spanker Sheets</t>
    <phoneticPr fontId="2" type="noConversion"/>
  </si>
  <si>
    <t>Handle Gaff Vangs</t>
    <phoneticPr fontId="2" type="noConversion"/>
  </si>
  <si>
    <t>Handle Flag Halyards</t>
    <phoneticPr fontId="2" type="noConversion"/>
  </si>
  <si>
    <t>Handle Awning Halyard</t>
    <phoneticPr fontId="2" type="noConversion"/>
  </si>
  <si>
    <t>Handle Head Outhaul</t>
    <phoneticPr fontId="2" type="noConversion"/>
  </si>
  <si>
    <t>Handle Head Inhaul</t>
    <phoneticPr fontId="2" type="noConversion"/>
  </si>
  <si>
    <t>Handle Foot Outhaul</t>
    <phoneticPr fontId="2" type="noConversion"/>
  </si>
  <si>
    <t>Handle Foot Inhaul</t>
    <phoneticPr fontId="2" type="noConversion"/>
  </si>
  <si>
    <t>Handle Brails</t>
    <phoneticPr fontId="2" type="noConversion"/>
  </si>
  <si>
    <t>Handle Tack</t>
    <phoneticPr fontId="2" type="noConversion"/>
  </si>
  <si>
    <t>Handle Outhaul</t>
    <phoneticPr fontId="2" type="noConversion"/>
  </si>
  <si>
    <t>Handle Inhaul</t>
    <phoneticPr fontId="2" type="noConversion"/>
  </si>
  <si>
    <t>Pass the tack across</t>
    <phoneticPr fontId="2" type="noConversion"/>
  </si>
  <si>
    <t>Take over the helm</t>
    <phoneticPr fontId="2" type="noConversion"/>
  </si>
  <si>
    <t>Steer a compass course</t>
    <phoneticPr fontId="2" type="noConversion"/>
  </si>
  <si>
    <t>Steer full and by</t>
    <phoneticPr fontId="2" type="noConversion"/>
  </si>
  <si>
    <t>Steer according to helming orders</t>
    <phoneticPr fontId="2" type="noConversion"/>
  </si>
  <si>
    <t>Steer to a landmark</t>
    <phoneticPr fontId="2" type="noConversion"/>
  </si>
  <si>
    <t>Be relieved from the helm</t>
    <phoneticPr fontId="2" type="noConversion"/>
  </si>
  <si>
    <t>Check the ship for signs of fire</t>
    <phoneticPr fontId="2" type="noConversion"/>
  </si>
  <si>
    <t>Check all areas for signs of flooding</t>
    <phoneticPr fontId="2" type="noConversion"/>
  </si>
  <si>
    <t>Check fridges and freezers</t>
    <phoneticPr fontId="2" type="noConversion"/>
  </si>
  <si>
    <t>Report to OOW as needed and log</t>
  </si>
  <si>
    <t>Hand over the position</t>
    <phoneticPr fontId="2" type="noConversion"/>
  </si>
  <si>
    <t>Report an obstical</t>
    <phoneticPr fontId="2" type="noConversion"/>
  </si>
  <si>
    <t>Maintain a lookout</t>
    <phoneticPr fontId="2" type="noConversion"/>
  </si>
  <si>
    <t>Respond to an MOB</t>
    <phoneticPr fontId="2" type="noConversion"/>
  </si>
  <si>
    <t>Report issues shipboard</t>
    <phoneticPr fontId="2" type="noConversion"/>
  </si>
  <si>
    <t>Hand over the position</t>
  </si>
  <si>
    <t>Identify possible collisions</t>
  </si>
  <si>
    <t>Report a contact or obstical</t>
  </si>
  <si>
    <t>Understand rules of the road</t>
  </si>
  <si>
    <t>Maintain a lookout</t>
  </si>
  <si>
    <t>Prepare the seaboat</t>
  </si>
  <si>
    <t>Drive the seaboat to a MoB</t>
  </si>
  <si>
    <t>Be lowered in the boat</t>
  </si>
  <si>
    <t>Lead the berthing party on shore</t>
  </si>
  <si>
    <t>Manage berthing locks</t>
  </si>
  <si>
    <t>Handle a berthing line on shore</t>
  </si>
  <si>
    <t>Call Berthing Line Handling (shipboard)</t>
  </si>
  <si>
    <t>Pass a berthing line with a heaving line</t>
  </si>
  <si>
    <t>Handle a berthing line on the ship</t>
  </si>
  <si>
    <t>Transfer between the ship and the shore via tug</t>
  </si>
  <si>
    <t>Direct connection/disconnection of the gangway</t>
  </si>
  <si>
    <t>Prepare the gangway for moving</t>
  </si>
  <si>
    <t>Assist in moving the gangway</t>
  </si>
  <si>
    <t>Connect or disconnect the gangway tackle</t>
  </si>
  <si>
    <t>Protect attack party with water wall</t>
  </si>
  <si>
    <t>Lead a fire hose attack</t>
  </si>
  <si>
    <t>Assist hose handling</t>
  </si>
  <si>
    <t>Attack a fire with hose</t>
  </si>
  <si>
    <t>Support fire party from safe retreat area</t>
  </si>
  <si>
    <t>Prepare fore a hose party attack</t>
  </si>
  <si>
    <t>Right a life raft</t>
  </si>
  <si>
    <t>Don a life vest</t>
  </si>
  <si>
    <t>Assist others in donning a life vest</t>
  </si>
  <si>
    <t>Assist others in boarding a life raft</t>
  </si>
  <si>
    <t>Lead a life raft party</t>
  </si>
  <si>
    <t>Retrieve extra supplies for raft</t>
  </si>
  <si>
    <t>Assess damage</t>
  </si>
  <si>
    <t>Deploy the anchor rapidly</t>
  </si>
  <si>
    <t>Assist in damage control party</t>
  </si>
  <si>
    <t>Lead Damage Control Party</t>
  </si>
  <si>
    <t>Operate Engine Telegraph</t>
  </si>
  <si>
    <t>Sound Ship's Whistle</t>
  </si>
  <si>
    <t>Conduct a Head Count</t>
  </si>
  <si>
    <t>Control a Crowd</t>
  </si>
  <si>
    <t>Rank Required</t>
  </si>
  <si>
    <t>Task Required for Move Ship</t>
  </si>
  <si>
    <t>Y</t>
  </si>
  <si>
    <t>WSB Task Assignment: Move Ship</t>
  </si>
  <si>
    <t>mM4</t>
  </si>
  <si>
    <t>mF1</t>
  </si>
  <si>
    <t>mM3,mF1</t>
  </si>
  <si>
    <t>mF2</t>
  </si>
  <si>
    <t>mM6</t>
  </si>
  <si>
    <t>mM3</t>
  </si>
  <si>
    <t>mF6,mF7</t>
  </si>
  <si>
    <t>mM7</t>
  </si>
  <si>
    <t>mM1</t>
  </si>
  <si>
    <t>mM20</t>
  </si>
  <si>
    <t>Task Required for Harbour Cruise</t>
  </si>
  <si>
    <t>WSB Task Assignment: Harbour Cruise</t>
  </si>
  <si>
    <t>hM8</t>
  </si>
  <si>
    <t>hM11</t>
  </si>
  <si>
    <t>hF1</t>
  </si>
  <si>
    <t>hM4</t>
  </si>
  <si>
    <t>hF9,hM10</t>
  </si>
  <si>
    <t>hM3,hF1</t>
  </si>
  <si>
    <t>hM9,hF8</t>
  </si>
  <si>
    <t>hM9,hM6,hF6,hM7,hF7,hF8</t>
  </si>
  <si>
    <t>hM10</t>
  </si>
  <si>
    <t>hM4,hF9,hM10</t>
  </si>
  <si>
    <t>hF2</t>
  </si>
  <si>
    <t>hM6</t>
  </si>
  <si>
    <t>hF6</t>
  </si>
  <si>
    <t>hF7</t>
  </si>
  <si>
    <t>hM7</t>
  </si>
  <si>
    <t>All Deck</t>
  </si>
  <si>
    <t>hM3</t>
  </si>
  <si>
    <t>hM4,hF6,hF7</t>
  </si>
  <si>
    <t>hM1</t>
  </si>
  <si>
    <t>hM20</t>
  </si>
  <si>
    <t>hM21</t>
  </si>
  <si>
    <t>hF20</t>
  </si>
  <si>
    <t>hF21,hF22</t>
  </si>
  <si>
    <t>Task required for day sail</t>
  </si>
  <si>
    <t>WSB Task Assignment: Day Sail</t>
  </si>
  <si>
    <t>sM8</t>
  </si>
  <si>
    <t>sM11</t>
  </si>
  <si>
    <t>sF1</t>
  </si>
  <si>
    <t>sM14</t>
  </si>
  <si>
    <t>sM14,sM9</t>
  </si>
  <si>
    <t>sM9</t>
  </si>
  <si>
    <t>sM4</t>
  </si>
  <si>
    <t>sF9,sM10</t>
  </si>
  <si>
    <t>sM3,sF1</t>
  </si>
  <si>
    <t>sM10</t>
  </si>
  <si>
    <t>sF9</t>
  </si>
  <si>
    <t>DH</t>
  </si>
  <si>
    <t>sM6</t>
  </si>
  <si>
    <t>sF6</t>
  </si>
  <si>
    <t>sF7</t>
  </si>
  <si>
    <t>sM7</t>
  </si>
  <si>
    <t>sF2</t>
  </si>
  <si>
    <t>sF3</t>
  </si>
  <si>
    <t>sM1</t>
  </si>
  <si>
    <t>sM20</t>
  </si>
  <si>
    <t>sM21</t>
  </si>
  <si>
    <t>sF20</t>
  </si>
  <si>
    <t>Skills</t>
    <phoneticPr fontId="2" type="noConversion"/>
  </si>
  <si>
    <t>Category</t>
    <phoneticPr fontId="2" type="noConversion"/>
  </si>
  <si>
    <t>Skill</t>
    <phoneticPr fontId="2" type="noConversion"/>
  </si>
  <si>
    <t>Level</t>
    <phoneticPr fontId="2" type="noConversion"/>
  </si>
  <si>
    <t>Basics</t>
  </si>
  <si>
    <t>Access the ship's keys</t>
  </si>
  <si>
    <t>Describe current situation to another crew member</t>
    <phoneticPr fontId="2" type="noConversion"/>
  </si>
  <si>
    <t>Y</t>
    <phoneticPr fontId="2" type="noConversion"/>
  </si>
  <si>
    <t>Fit and wear a life jacket</t>
  </si>
  <si>
    <t>Maintain vigillance for on hour</t>
    <phoneticPr fontId="2" type="noConversion"/>
  </si>
  <si>
    <t>Point to a person in the water until relieved</t>
    <phoneticPr fontId="2" type="noConversion"/>
  </si>
  <si>
    <t>Record observations in writing</t>
    <phoneticPr fontId="2" type="noConversion"/>
  </si>
  <si>
    <t>Throw the MOB gear to a person in the water</t>
    <phoneticPr fontId="2" type="noConversion"/>
  </si>
  <si>
    <t>Use a two-way radio</t>
    <phoneticPr fontId="2" type="noConversion"/>
  </si>
  <si>
    <t>Use directions in points or degrees</t>
    <phoneticPr fontId="2" type="noConversion"/>
  </si>
  <si>
    <t>Climbing</t>
  </si>
  <si>
    <t>Climb the mizzen shrouds to a height of two metres</t>
    <phoneticPr fontId="2" type="noConversion"/>
  </si>
  <si>
    <t>Command</t>
    <phoneticPr fontId="2" type="noConversion"/>
  </si>
  <si>
    <t>Acknowledge an order</t>
    <phoneticPr fontId="2" type="noConversion"/>
  </si>
  <si>
    <t>Give an order</t>
    <phoneticPr fontId="2" type="noConversion"/>
  </si>
  <si>
    <t>Identify the OOW</t>
    <phoneticPr fontId="2" type="noConversion"/>
  </si>
  <si>
    <t>Raise an issue</t>
    <phoneticPr fontId="2" type="noConversion"/>
  </si>
  <si>
    <t>Emergency</t>
  </si>
  <si>
    <t>Identify and use entry and exit points for all compartments</t>
    <phoneticPr fontId="2" type="noConversion"/>
  </si>
  <si>
    <t>Fire</t>
  </si>
  <si>
    <t>Don a fire suit</t>
  </si>
  <si>
    <t>Identify and check a fire extinguisher</t>
  </si>
  <si>
    <t>Know the location of hydrants and hoses</t>
  </si>
  <si>
    <t>Use a fire hose and hydrant</t>
  </si>
  <si>
    <t>Fitness</t>
  </si>
  <si>
    <t>Able to climb a pilot ladder</t>
  </si>
  <si>
    <t>Gangway</t>
  </si>
  <si>
    <t>Connect the gangway to the gallows tackle (shipboard)</t>
  </si>
  <si>
    <t>Connect the gangway to the gallows tackle (shoreside)</t>
  </si>
  <si>
    <t>Invert the gangway wheels</t>
  </si>
  <si>
    <t>Helming</t>
  </si>
  <si>
    <t>Physically move the ship's wheel as required</t>
  </si>
  <si>
    <t>Call every 10 degrees when ship is turning</t>
  </si>
  <si>
    <t>Knots</t>
  </si>
  <si>
    <t>Tie a Bowline</t>
  </si>
  <si>
    <t>Line Handling</t>
    <phoneticPr fontId="2" type="noConversion"/>
  </si>
  <si>
    <t>Advanced Safe Line Handling (pin rail)</t>
    <phoneticPr fontId="2" type="noConversion"/>
  </si>
  <si>
    <t>Apply a stopper</t>
    <phoneticPr fontId="2" type="noConversion"/>
  </si>
  <si>
    <t>Basic safe line handling (pin rail)</t>
    <phoneticPr fontId="2" type="noConversion"/>
  </si>
  <si>
    <t>Belay a line to a standard pin</t>
    <phoneticPr fontId="2" type="noConversion"/>
  </si>
  <si>
    <t>Line Handling</t>
  </si>
  <si>
    <t>Belay a line to carrack bits</t>
  </si>
  <si>
    <t>Belay a line to twin bollards</t>
    <phoneticPr fontId="2" type="noConversion"/>
  </si>
  <si>
    <t>Belay to a spider band</t>
    <phoneticPr fontId="2" type="noConversion"/>
  </si>
  <si>
    <t>y</t>
    <phoneticPr fontId="2" type="noConversion"/>
  </si>
  <si>
    <t>Cast off a line</t>
    <phoneticPr fontId="2" type="noConversion"/>
  </si>
  <si>
    <t>Coil and stow a line on a standard pin</t>
    <phoneticPr fontId="2" type="noConversion"/>
  </si>
  <si>
    <t>Connect an eye to a bollard</t>
  </si>
  <si>
    <t>Line handling</t>
  </si>
  <si>
    <t>Dip the eye</t>
  </si>
  <si>
    <t>Ease a line under a standard pin</t>
    <phoneticPr fontId="2" type="noConversion"/>
  </si>
  <si>
    <t>Ease line on a spider band</t>
    <phoneticPr fontId="2" type="noConversion"/>
  </si>
  <si>
    <t>Flake a line on the deck</t>
  </si>
  <si>
    <t>Handle a line on twin bollards (ease, haul, etc)</t>
    <phoneticPr fontId="2" type="noConversion"/>
  </si>
  <si>
    <t>Haul on a line under a standard pin</t>
    <phoneticPr fontId="2" type="noConversion"/>
  </si>
  <si>
    <t>Haul on line on a spider band</t>
    <phoneticPr fontId="2" type="noConversion"/>
  </si>
  <si>
    <t>Lift and handle a berthing line</t>
  </si>
  <si>
    <t>Marry a line</t>
    <phoneticPr fontId="2" type="noConversion"/>
  </si>
  <si>
    <t>Spiderband safe line handling</t>
    <phoneticPr fontId="2" type="noConversion"/>
  </si>
  <si>
    <t>Store a heaving line</t>
  </si>
  <si>
    <t>Sweat a line on a spider band</t>
    <phoneticPr fontId="2" type="noConversion"/>
  </si>
  <si>
    <t>Sweat a line under a standard pin</t>
    <phoneticPr fontId="2" type="noConversion"/>
  </si>
  <si>
    <t>Walk a line down the deck</t>
    <phoneticPr fontId="2" type="noConversion"/>
  </si>
  <si>
    <t>Line ID</t>
    <phoneticPr fontId="2" type="noConversion"/>
  </si>
  <si>
    <t>Identify Course Tacks and Sheets</t>
    <phoneticPr fontId="2" type="noConversion"/>
  </si>
  <si>
    <t>Identify lower braces (topsails and course)</t>
    <phoneticPr fontId="2" type="noConversion"/>
  </si>
  <si>
    <t>Identify square sail gear</t>
    <phoneticPr fontId="2" type="noConversion"/>
  </si>
  <si>
    <t>Identify square sail halyards</t>
    <phoneticPr fontId="2" type="noConversion"/>
  </si>
  <si>
    <t>Identify square sail sheets (lower topsail, topgallant, royal)</t>
    <phoneticPr fontId="2" type="noConversion"/>
  </si>
  <si>
    <t>Identify Staysail Lines</t>
    <phoneticPr fontId="2" type="noConversion"/>
  </si>
  <si>
    <t>Identify Topgallant and Royal Braces</t>
    <phoneticPr fontId="2" type="noConversion"/>
  </si>
  <si>
    <t>Lookout</t>
  </si>
  <si>
    <t>Describe a ship or other obstical on the water</t>
    <phoneticPr fontId="2" type="noConversion"/>
  </si>
  <si>
    <t>Identify day shapes and their meaning</t>
  </si>
  <si>
    <t>Identify light configurations and their meaning</t>
  </si>
  <si>
    <t>Identify sound signals and their meaning</t>
  </si>
  <si>
    <t>Identify stand on and give way vessels</t>
  </si>
  <si>
    <t>Ship Keeping</t>
  </si>
  <si>
    <t>Confirm that fridges and freezers are operating correctly</t>
    <phoneticPr fontId="2" type="noConversion"/>
  </si>
  <si>
    <t>Identify areas of each compartment that are high risk for fire</t>
    <phoneticPr fontId="2" type="noConversion"/>
  </si>
  <si>
    <t>Identify signs of a fire</t>
    <phoneticPr fontId="2" type="noConversion"/>
  </si>
  <si>
    <t>Identify signs of water ingress</t>
    <phoneticPr fontId="2" type="noConversion"/>
  </si>
  <si>
    <t>Start the general service pump for fire or deck washing</t>
  </si>
  <si>
    <t>Special: Sails</t>
    <phoneticPr fontId="2" type="noConversion"/>
  </si>
  <si>
    <t>Handle a staysail sheet while setting/taking in the sail</t>
    <phoneticPr fontId="2" type="noConversion"/>
  </si>
  <si>
    <t>Handle an upper topsail downhaul while brining in a sail</t>
    <phoneticPr fontId="2" type="noConversion"/>
  </si>
  <si>
    <t>Overhaul a lazy sheet on a staysail</t>
    <phoneticPr fontId="2" type="noConversion"/>
  </si>
  <si>
    <t>Work the fore course tack on the capstan</t>
    <phoneticPr fontId="2" type="noConversion"/>
  </si>
  <si>
    <t>Rig a handy billy to advantage</t>
    <phoneticPr fontId="2" type="noConversion"/>
  </si>
  <si>
    <t>External Training</t>
  </si>
  <si>
    <t>GPH</t>
  </si>
  <si>
    <t>Sail Handling</t>
  </si>
  <si>
    <t>Knowledge of bracing limits for Upper Topsail, topgallant and royal yards</t>
    <phoneticPr fontId="2" type="noConversion"/>
  </si>
  <si>
    <t>Know how much to bunt up a sail</t>
    <phoneticPr fontId="2" type="noConversion"/>
  </si>
  <si>
    <t>Able to list standard commands for setting the course</t>
    <phoneticPr fontId="2" type="noConversion"/>
  </si>
  <si>
    <t>Move Ship</t>
  </si>
  <si>
    <t>Harbour Cruise</t>
  </si>
  <si>
    <t>Day Sail</t>
  </si>
  <si>
    <t>Voyage</t>
  </si>
  <si>
    <t>Number of Cards</t>
  </si>
  <si>
    <t>Rank</t>
  </si>
  <si>
    <t>Minimum Manning Stations</t>
  </si>
  <si>
    <t>Card Number</t>
  </si>
  <si>
    <t>Position Rank</t>
  </si>
  <si>
    <t>Position Title</t>
  </si>
  <si>
    <t>Berthing</t>
  </si>
  <si>
    <t>MoB</t>
  </si>
  <si>
    <t>Abandon</t>
  </si>
  <si>
    <t>Cruising</t>
  </si>
  <si>
    <t>M01</t>
  </si>
  <si>
    <t>Master</t>
  </si>
  <si>
    <t>Command</t>
  </si>
  <si>
    <t>Command and Eng. Telegraph</t>
  </si>
  <si>
    <t>F01</t>
  </si>
  <si>
    <t>Chief Mate</t>
  </si>
  <si>
    <t>I/C Fwd Lines</t>
  </si>
  <si>
    <t>Officer I/C Fire</t>
  </si>
  <si>
    <t>Forward LO</t>
  </si>
  <si>
    <t xml:space="preserve"> </t>
  </si>
  <si>
    <t>2nd Mate</t>
  </si>
  <si>
    <t>3rd Mate</t>
  </si>
  <si>
    <t>4th Mate</t>
  </si>
  <si>
    <t>Deck</t>
  </si>
  <si>
    <t>F02</t>
  </si>
  <si>
    <t>As needed</t>
  </si>
  <si>
    <t>M03</t>
  </si>
  <si>
    <t>Watchleader</t>
  </si>
  <si>
    <t>Main Watch Leader</t>
  </si>
  <si>
    <t>I/C Aft Lines</t>
  </si>
  <si>
    <t>Fire Party Leader</t>
  </si>
  <si>
    <t>I/C Lines Forward</t>
  </si>
  <si>
    <t>IC Sail Hdl Aft</t>
  </si>
  <si>
    <t>IC sail hdl aft</t>
  </si>
  <si>
    <t>IC boat launch</t>
  </si>
  <si>
    <t>F03</t>
  </si>
  <si>
    <t>Fore Watch Leader</t>
  </si>
  <si>
    <t>IC Sail Hdl Fwd</t>
  </si>
  <si>
    <t>Mizzen Watch Leader</t>
  </si>
  <si>
    <t>M04</t>
  </si>
  <si>
    <t>Leading Deckhand GPH</t>
  </si>
  <si>
    <t>Main AWL</t>
  </si>
  <si>
    <t>Helm</t>
  </si>
  <si>
    <t>Berthing Pty Ldr</t>
  </si>
  <si>
    <t>M14</t>
  </si>
  <si>
    <t>Seaboat Coxswain LDH</t>
  </si>
  <si>
    <t>Coxswain</t>
  </si>
  <si>
    <t>Sail Hdl Aft</t>
  </si>
  <si>
    <t>Drives Seaboat</t>
  </si>
  <si>
    <t>F04</t>
  </si>
  <si>
    <t>Leading Deckhand</t>
  </si>
  <si>
    <t>Fore AWL</t>
  </si>
  <si>
    <t>Sail Hdl Fwd</t>
  </si>
  <si>
    <t>M05</t>
  </si>
  <si>
    <t>Spotter</t>
  </si>
  <si>
    <t>F05</t>
  </si>
  <si>
    <t>M06</t>
  </si>
  <si>
    <t>ADH GPH or DH GPH</t>
  </si>
  <si>
    <t>Line Hdl Aft</t>
  </si>
  <si>
    <t>Hose 1</t>
  </si>
  <si>
    <t>Seaboat launch</t>
  </si>
  <si>
    <t>M07</t>
  </si>
  <si>
    <t>Hose 2</t>
  </si>
  <si>
    <t>F06</t>
  </si>
  <si>
    <t>Line Hdl Fwd</t>
  </si>
  <si>
    <t>Hose 1 Assist</t>
  </si>
  <si>
    <t>F07</t>
  </si>
  <si>
    <t>Hose 2 Assist</t>
  </si>
  <si>
    <t>M08</t>
  </si>
  <si>
    <t>AHD or DH</t>
  </si>
  <si>
    <t>Quartermaster</t>
  </si>
  <si>
    <t>M09</t>
  </si>
  <si>
    <t>Seaboat Crew</t>
  </si>
  <si>
    <t>F08</t>
  </si>
  <si>
    <t>M10</t>
  </si>
  <si>
    <t>Berthing Pty</t>
  </si>
  <si>
    <t>F09</t>
  </si>
  <si>
    <t>M11</t>
  </si>
  <si>
    <t>Stern Lookout</t>
  </si>
  <si>
    <t>M12</t>
  </si>
  <si>
    <t>F11</t>
  </si>
  <si>
    <t>M13</t>
  </si>
  <si>
    <t>F12</t>
  </si>
  <si>
    <t>Deck Trainee</t>
  </si>
  <si>
    <t xml:space="preserve">Engineering </t>
  </si>
  <si>
    <t>M20</t>
  </si>
  <si>
    <t>Eng Telegraph</t>
  </si>
  <si>
    <t>Eng. Room</t>
  </si>
  <si>
    <t>Eng Room</t>
  </si>
  <si>
    <t>M21</t>
  </si>
  <si>
    <t>2nd Engineer</t>
  </si>
  <si>
    <t>Assistant Engineer</t>
  </si>
  <si>
    <t>F20</t>
  </si>
  <si>
    <t>Chief Steward</t>
  </si>
  <si>
    <t>Gangway HDCT</t>
  </si>
  <si>
    <t>HDCT</t>
  </si>
  <si>
    <t>Doctor</t>
  </si>
  <si>
    <t>F21</t>
  </si>
  <si>
    <t>Steward</t>
  </si>
  <si>
    <t>Crowd Control</t>
  </si>
  <si>
    <t>F22</t>
  </si>
  <si>
    <t>F23</t>
  </si>
  <si>
    <t>Entertainer</t>
  </si>
  <si>
    <t>Saegoing guides</t>
  </si>
  <si>
    <t>History in Action</t>
  </si>
  <si>
    <r>
      <t xml:space="preserve">Area: </t>
    </r>
    <r>
      <rPr>
        <b/>
        <sz val="10"/>
        <rFont val="Verdana"/>
      </rPr>
      <t>Officers</t>
    </r>
  </si>
  <si>
    <r>
      <t xml:space="preserve">Area: </t>
    </r>
    <r>
      <rPr>
        <b/>
        <sz val="10"/>
        <rFont val="Verdana"/>
      </rPr>
      <t>Deck</t>
    </r>
  </si>
  <si>
    <t>mF6</t>
  </si>
  <si>
    <t>mF7</t>
  </si>
  <si>
    <r>
      <t xml:space="preserve">Area: </t>
    </r>
    <r>
      <rPr>
        <b/>
        <sz val="10"/>
        <rFont val="Verdana"/>
      </rPr>
      <t>Engineering</t>
    </r>
  </si>
  <si>
    <r>
      <t>Area:</t>
    </r>
    <r>
      <rPr>
        <b/>
        <sz val="10"/>
        <rFont val="Verdana"/>
      </rPr>
      <t xml:space="preserve"> Hospitality</t>
    </r>
  </si>
  <si>
    <t>Seaboat Coxswain</t>
  </si>
  <si>
    <t>hM9</t>
  </si>
  <si>
    <t>hF8</t>
  </si>
  <si>
    <t>hF9</t>
  </si>
  <si>
    <r>
      <t xml:space="preserve">Area: </t>
    </r>
    <r>
      <rPr>
        <b/>
        <sz val="10"/>
        <rFont val="Verdana"/>
      </rPr>
      <t>Hospitality</t>
    </r>
  </si>
  <si>
    <t>hF21</t>
  </si>
  <si>
    <t>hF22</t>
  </si>
  <si>
    <t>sM3</t>
  </si>
  <si>
    <t>sF4</t>
  </si>
  <si>
    <t>sM5</t>
  </si>
  <si>
    <t>sF5</t>
  </si>
  <si>
    <t>sF8</t>
  </si>
  <si>
    <t>sM12</t>
  </si>
  <si>
    <t>sF11</t>
  </si>
  <si>
    <t>sM13</t>
  </si>
  <si>
    <t>sF12</t>
  </si>
  <si>
    <t>sF21</t>
  </si>
  <si>
    <t>sF22</t>
  </si>
  <si>
    <t>sF23</t>
  </si>
  <si>
    <t>Raise the fire alarm</t>
  </si>
  <si>
    <t>Chart Room</t>
  </si>
  <si>
    <t>Update the ship patrol log</t>
  </si>
  <si>
    <t>Retrieve a radio</t>
  </si>
  <si>
    <t>Equipment Checks</t>
  </si>
  <si>
    <t>MoB Equipment Check</t>
  </si>
  <si>
    <t>Helm Operation and midships</t>
  </si>
  <si>
    <t>Coxswains or higher</t>
  </si>
  <si>
    <t>Seaboat</t>
  </si>
  <si>
    <t>Prepare the boat for use</t>
  </si>
  <si>
    <t>Act as Crew</t>
  </si>
  <si>
    <t>Start the engine</t>
  </si>
  <si>
    <t>Act as Coxswain</t>
  </si>
  <si>
    <t>Basic boat handling skills</t>
  </si>
  <si>
    <t>Boat handling near person in water</t>
  </si>
  <si>
    <t>Connect/Disconnect the Falls</t>
  </si>
  <si>
    <t>Connect/Disconnect the Painter</t>
  </si>
  <si>
    <t>Ship Emergency</t>
  </si>
  <si>
    <t>Qualified Bosun</t>
  </si>
  <si>
    <t>Casualty/First Aid</t>
  </si>
  <si>
    <t>Lead Stretcher Party</t>
  </si>
  <si>
    <t>Assist in stretcher party</t>
  </si>
  <si>
    <t>Provide First Aid</t>
  </si>
  <si>
    <t>Prepare a Life Raft</t>
  </si>
  <si>
    <t>Spill</t>
  </si>
  <si>
    <t>Attend to a spill</t>
  </si>
  <si>
    <t>Lead spill party</t>
  </si>
  <si>
    <t>Rcovery from Aloft</t>
  </si>
  <si>
    <t>Lead Recovery Aloft</t>
  </si>
  <si>
    <t>Assist From the Deck</t>
  </si>
  <si>
    <t>Assist Aloft</t>
  </si>
  <si>
    <t>Anchoring</t>
  </si>
  <si>
    <t>Admiralty Anchoring</t>
  </si>
  <si>
    <t>Wash anchor and chain</t>
  </si>
  <si>
    <t>Cable faking in locker</t>
  </si>
  <si>
    <t>Lead Deployment/Recovery</t>
  </si>
  <si>
    <t>Operate Windlass Brake</t>
  </si>
  <si>
    <t>Capstan Team</t>
  </si>
  <si>
    <t>General Anchoring</t>
  </si>
  <si>
    <t>Capstan Leader</t>
  </si>
  <si>
    <t>Stockless</t>
  </si>
  <si>
    <t>Preapre for Sea</t>
  </si>
  <si>
    <t>Prepare for deployment</t>
  </si>
  <si>
    <t>Handle Blakeslip</t>
  </si>
  <si>
    <t>Tail Outhaul on Windlass</t>
  </si>
  <si>
    <t>Sail handling aloft</t>
  </si>
  <si>
    <t>Unfurling</t>
  </si>
  <si>
    <t>Overhauling</t>
  </si>
  <si>
    <t>Person overboard</t>
  </si>
  <si>
    <t>Lead Launch</t>
  </si>
  <si>
    <t>Lead Recovery</t>
  </si>
  <si>
    <t>Assist with launch/recovery</t>
  </si>
  <si>
    <t>Launch /Recover Seabot</t>
  </si>
  <si>
    <t>Steering Failure</t>
  </si>
  <si>
    <t>Set up emergency steering gear</t>
  </si>
  <si>
    <t>Handle ship with emergency steering</t>
  </si>
  <si>
    <t>Respond to loss of steering</t>
  </si>
  <si>
    <t>Crew response to MoB</t>
  </si>
  <si>
    <t>Assist in provisioning life rafts</t>
  </si>
  <si>
    <t>Alert the OOW if off course</t>
  </si>
  <si>
    <t>Know safest dis/connection method in different tidal circumstances</t>
  </si>
  <si>
    <t>Voyaging</t>
  </si>
  <si>
    <t>Preparation</t>
  </si>
  <si>
    <t>Direct closing of the main hatch</t>
  </si>
  <si>
    <t>Direct storage of the gangway stage</t>
  </si>
  <si>
    <t>Night Duties</t>
  </si>
  <si>
    <t>Night time lookouts</t>
  </si>
  <si>
    <t>Respond to MoB at night</t>
  </si>
  <si>
    <t>Work on deck at night</t>
  </si>
  <si>
    <t>Direct storage of berthing lines</t>
  </si>
  <si>
    <t>Set up a hammock or stretcher</t>
  </si>
  <si>
    <t>Pack personal gear appropriately</t>
  </si>
  <si>
    <t>History</t>
  </si>
  <si>
    <t>Public Outreach</t>
  </si>
  <si>
    <t>Seagoing Guide</t>
  </si>
  <si>
    <t>Passenger Climbing</t>
  </si>
  <si>
    <t>Lead Passenger Climbing</t>
  </si>
  <si>
    <t>Assist with Passenger Climbing</t>
  </si>
  <si>
    <t>Special Positions</t>
  </si>
  <si>
    <t>Training</t>
  </si>
  <si>
    <t>Deck Trainer</t>
  </si>
  <si>
    <t>Crew Assessor</t>
  </si>
  <si>
    <t>Officers</t>
  </si>
  <si>
    <t>Officer of the Watch</t>
  </si>
  <si>
    <t>Bosun's Mate</t>
  </si>
  <si>
    <t>Spotter aloft</t>
  </si>
  <si>
    <t>Lead shipboard recovery</t>
  </si>
  <si>
    <t>Assist with shipboard recovery</t>
  </si>
  <si>
    <t>Supervise passengers aloft</t>
  </si>
  <si>
    <t>Supervise passengers on the jibboom</t>
  </si>
  <si>
    <t>Assist with passengers passing the tops</t>
  </si>
  <si>
    <t>Manage passengers</t>
  </si>
  <si>
    <t>General</t>
  </si>
  <si>
    <t>Able to handle anchor cable in locker</t>
  </si>
  <si>
    <t>Fake the chain in the anchor locker</t>
  </si>
  <si>
    <t>Handle the blake slip</t>
  </si>
  <si>
    <t>Anchor</t>
  </si>
  <si>
    <t>Ring the ship's bell</t>
  </si>
  <si>
    <t>Identify the washing nozzle</t>
  </si>
  <si>
    <t>Windlass &amp; Capstan</t>
  </si>
  <si>
    <t>Tail line on the windlass drum</t>
  </si>
  <si>
    <t>Tail the capstan</t>
  </si>
  <si>
    <t>Operate the windlass via pendant</t>
  </si>
  <si>
    <t>Operate windlass emergency stops</t>
  </si>
  <si>
    <t>Operate the windlass via locker controls</t>
  </si>
  <si>
    <t>Work in the capstan team</t>
  </si>
  <si>
    <t>Able to lift/handle the blake slip</t>
  </si>
  <si>
    <t>Operate windlass brake</t>
  </si>
  <si>
    <t>Watch for an overriding turn</t>
  </si>
  <si>
    <t>Recover from overriding turn</t>
  </si>
  <si>
    <t>Lead Harbour Furling</t>
  </si>
  <si>
    <t>Assist with furling</t>
  </si>
  <si>
    <t>Lead Sea Furling</t>
  </si>
  <si>
    <t>Furl Course Clew</t>
  </si>
  <si>
    <t>Aloft</t>
  </si>
  <si>
    <t>Pass a Gasket</t>
  </si>
  <si>
    <t>Stow a gasket</t>
  </si>
  <si>
    <t>Round turn and two half hitches</t>
  </si>
  <si>
    <t>Lead Staysail Furling</t>
  </si>
  <si>
    <t>Marlin Hitch a sail</t>
  </si>
  <si>
    <t>Lace Up the course clew</t>
  </si>
  <si>
    <t>Find rotton cotton</t>
  </si>
  <si>
    <t>Tie lines with rotton cotton</t>
  </si>
  <si>
    <t>Locations</t>
  </si>
  <si>
    <t>Respond to Wheel Orders</t>
  </si>
  <si>
    <t>Recognise a luffing sail</t>
  </si>
  <si>
    <t>Check Fridges and Freezers Running</t>
  </si>
  <si>
    <t>List commands for handling the gangway</t>
  </si>
  <si>
    <t>Secure the gangway from tipping</t>
  </si>
  <si>
    <t>Identify alt gangway trolly</t>
  </si>
  <si>
    <t>Gangway Trolly</t>
  </si>
  <si>
    <t>List steps for handling the admiralty anchor</t>
  </si>
  <si>
    <t>Demonstrate launch and recovery of Admiralty Anchor</t>
  </si>
  <si>
    <t>Lead manual launch of a life raft</t>
  </si>
  <si>
    <t>Describe automatic launch of life raft</t>
  </si>
  <si>
    <t>List steps to manual launch life raft</t>
  </si>
  <si>
    <t>Know how to correctly fit a life vest</t>
  </si>
  <si>
    <t>Blankets for life rafts</t>
  </si>
  <si>
    <t>Extra Food/Water for life rafts</t>
  </si>
  <si>
    <t>Confined Waters</t>
  </si>
  <si>
    <t>Helm (relief)</t>
  </si>
  <si>
    <t>Sail Stations</t>
  </si>
  <si>
    <t>OOW</t>
  </si>
  <si>
    <t>I/C Main Watch</t>
  </si>
  <si>
    <t>I/C Fore Watch</t>
  </si>
  <si>
    <t>Ship Husbandry</t>
  </si>
  <si>
    <t>Sea Duties</t>
  </si>
  <si>
    <t>CW Duties</t>
  </si>
  <si>
    <t>Forward Lookout</t>
  </si>
  <si>
    <t>mF6,mF7,mM6,mM7</t>
  </si>
  <si>
    <t>hF6,hF7</t>
  </si>
  <si>
    <t>sF6,sF7</t>
  </si>
  <si>
    <t>sM5,sF5,sM6,sM7,sF6,sF7,sM8,sM9,sF8,sM10,sF9,sM11</t>
  </si>
  <si>
    <t>hM6,hM7,hF6,hF7,hM8,hM9,hF8,hM10,hF9,hM11</t>
  </si>
  <si>
    <t>sM30</t>
  </si>
  <si>
    <t>sM31</t>
  </si>
  <si>
    <t>sM32</t>
  </si>
  <si>
    <t>sF21,sF22,sF23</t>
  </si>
  <si>
    <t>sM4,sF4,sM5,sF5</t>
  </si>
  <si>
    <t>Day Sail LDH and ADH for General Duties</t>
  </si>
  <si>
    <t>Boat License</t>
  </si>
  <si>
    <t>I/C Damage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</si>
</sst>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Verdana"/>
    </font>
    <font>
      <b/>
      <sz val="10"/>
      <name val="Verdana"/>
    </font>
    <font>
      <sz val="8"/>
      <name val="Verdana"/>
    </font>
    <font>
      <b/>
      <sz val="14"/>
      <name val="Verdana"/>
    </font>
    <font>
      <u/>
      <sz val="10"/>
      <color theme="10"/>
      <name val="Verdana"/>
    </font>
    <font>
      <u/>
      <sz val="10"/>
      <color theme="11"/>
      <name val="Verdana"/>
    </font>
    <font>
      <b/>
      <sz val="16"/>
      <name val="Verdana"/>
    </font>
    <font>
      <sz val="10"/>
      <name val="Open Sans"/>
    </font>
    <font>
      <b/>
      <sz val="10"/>
      <name val="Open Sans"/>
    </font>
    <font>
      <sz val="10"/>
      <color indexed="41"/>
      <name val="Open Sans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A0A2"/>
        <bgColor indexed="64"/>
      </patternFill>
    </fill>
    <fill>
      <patternFill patternType="solid">
        <fgColor rgb="FFA8DDF0"/>
        <bgColor indexed="64"/>
      </patternFill>
    </fill>
    <fill>
      <patternFill patternType="solid">
        <fgColor rgb="FFB9D0A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indexed="1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525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47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/>
    <xf numFmtId="0" fontId="0" fillId="6" borderId="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0" xfId="0" applyFill="1" applyBorder="1"/>
    <xf numFmtId="0" fontId="0" fillId="6" borderId="2" xfId="0" applyFill="1" applyBorder="1"/>
    <xf numFmtId="0" fontId="0" fillId="7" borderId="0" xfId="0" applyFill="1" applyBorder="1"/>
    <xf numFmtId="0" fontId="0" fillId="7" borderId="2" xfId="0" applyFill="1" applyBorder="1"/>
    <xf numFmtId="0" fontId="0" fillId="8" borderId="1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/>
    <xf numFmtId="0" fontId="0" fillId="8" borderId="2" xfId="0" applyFill="1" applyBorder="1"/>
    <xf numFmtId="0" fontId="0" fillId="9" borderId="1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0" xfId="0" applyFill="1" applyBorder="1"/>
    <xf numFmtId="0" fontId="0" fillId="9" borderId="2" xfId="0" applyFill="1" applyBorder="1"/>
    <xf numFmtId="0" fontId="0" fillId="0" borderId="2" xfId="0" applyFill="1" applyBorder="1"/>
    <xf numFmtId="0" fontId="0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left" vertical="center" wrapText="1"/>
    </xf>
    <xf numFmtId="0" fontId="0" fillId="3" borderId="1" xfId="0" applyFont="1" applyFill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top" wrapText="1"/>
    </xf>
    <xf numFmtId="0" fontId="0" fillId="4" borderId="1" xfId="0" applyFont="1" applyFill="1" applyBorder="1" applyAlignment="1">
      <alignment horizontal="left" vertical="center"/>
    </xf>
    <xf numFmtId="0" fontId="0" fillId="3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0" fontId="0" fillId="5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vertical="center" wrapText="1"/>
    </xf>
    <xf numFmtId="0" fontId="1" fillId="0" borderId="6" xfId="0" applyFont="1" applyFill="1" applyBorder="1" applyAlignment="1">
      <alignment horizontal="left" vertical="center" wrapText="1"/>
    </xf>
    <xf numFmtId="0" fontId="0" fillId="5" borderId="0" xfId="0" applyFont="1" applyFill="1" applyBorder="1" applyAlignment="1">
      <alignment horizontal="left" vertical="center" wrapText="1"/>
    </xf>
    <xf numFmtId="0" fontId="0" fillId="3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left" vertical="center" wrapText="1"/>
    </xf>
    <xf numFmtId="0" fontId="0" fillId="4" borderId="0" xfId="0" applyFont="1" applyFill="1" applyBorder="1" applyAlignment="1">
      <alignment horizontal="left" vertical="center" wrapText="1"/>
    </xf>
    <xf numFmtId="0" fontId="0" fillId="3" borderId="0" xfId="0" applyFont="1" applyFill="1" applyBorder="1" applyAlignment="1">
      <alignment horizontal="left" vertical="center" wrapText="1"/>
    </xf>
    <xf numFmtId="0" fontId="0" fillId="2" borderId="3" xfId="0" applyFont="1" applyFill="1" applyBorder="1" applyAlignment="1">
      <alignment horizontal="left" vertic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4" xfId="0" applyFill="1" applyBorder="1"/>
    <xf numFmtId="0" fontId="0" fillId="6" borderId="5" xfId="0" applyFill="1" applyBorder="1"/>
    <xf numFmtId="0" fontId="0" fillId="0" borderId="4" xfId="0" applyBorder="1"/>
    <xf numFmtId="0" fontId="0" fillId="0" borderId="5" xfId="0" applyBorder="1"/>
    <xf numFmtId="0" fontId="0" fillId="6" borderId="2" xfId="0" applyFill="1" applyBorder="1" applyAlignment="1">
      <alignment horizontal="center"/>
    </xf>
    <xf numFmtId="0" fontId="0" fillId="0" borderId="1" xfId="0" applyFont="1" applyBorder="1"/>
    <xf numFmtId="0" fontId="0" fillId="0" borderId="0" xfId="0" applyFont="1" applyBorder="1"/>
    <xf numFmtId="0" fontId="0" fillId="0" borderId="7" xfId="0" applyFont="1" applyFill="1" applyBorder="1" applyAlignment="1">
      <alignment horizontal="left" vertical="center" wrapText="1"/>
    </xf>
    <xf numFmtId="0" fontId="0" fillId="2" borderId="4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 wrapText="1"/>
    </xf>
    <xf numFmtId="0" fontId="0" fillId="0" borderId="0" xfId="0" applyFont="1" applyBorder="1" applyAlignment="1">
      <alignment horizontal="left" vertical="top" wrapText="1"/>
    </xf>
    <xf numFmtId="0" fontId="0" fillId="2" borderId="0" xfId="0" applyFont="1" applyFill="1" applyBorder="1" applyAlignment="1">
      <alignment horizontal="left" vertical="center"/>
    </xf>
    <xf numFmtId="0" fontId="0" fillId="4" borderId="0" xfId="0" applyFont="1" applyFill="1" applyBorder="1" applyAlignment="1">
      <alignment horizontal="left" vertical="center"/>
    </xf>
    <xf numFmtId="0" fontId="0" fillId="5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vertical="center" wrapText="1"/>
    </xf>
    <xf numFmtId="0" fontId="0" fillId="5" borderId="1" xfId="0" applyFont="1" applyFill="1" applyBorder="1" applyAlignment="1">
      <alignment horizontal="left" vertical="center" wrapText="1"/>
    </xf>
    <xf numFmtId="0" fontId="0" fillId="4" borderId="1" xfId="0" applyFont="1" applyFill="1" applyBorder="1" applyAlignment="1">
      <alignment horizontal="left" vertical="center" wrapText="1"/>
    </xf>
    <xf numFmtId="0" fontId="0" fillId="0" borderId="6" xfId="0" applyFont="1" applyFill="1" applyBorder="1" applyAlignment="1">
      <alignment horizontal="left" vertical="center" wrapText="1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7" xfId="0" applyFont="1" applyFill="1" applyBorder="1" applyAlignment="1">
      <alignment horizontal="left" vertical="center" wrapText="1"/>
    </xf>
    <xf numFmtId="0" fontId="0" fillId="0" borderId="7" xfId="0" applyFill="1" applyBorder="1"/>
    <xf numFmtId="0" fontId="1" fillId="0" borderId="6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6" borderId="5" xfId="0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Border="1" applyAlignment="1">
      <alignment horizontal="left"/>
    </xf>
    <xf numFmtId="0" fontId="6" fillId="0" borderId="1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7" fillId="10" borderId="1" xfId="0" applyFont="1" applyFill="1" applyBorder="1" applyAlignment="1">
      <alignment textRotation="90"/>
    </xf>
    <xf numFmtId="0" fontId="7" fillId="0" borderId="0" xfId="0" applyFont="1" applyFill="1"/>
    <xf numFmtId="0" fontId="7" fillId="0" borderId="0" xfId="0" applyFont="1" applyFill="1" applyAlignment="1">
      <alignment wrapText="1"/>
    </xf>
    <xf numFmtId="0" fontId="7" fillId="0" borderId="0" xfId="0" applyFont="1" applyFill="1" applyBorder="1"/>
    <xf numFmtId="0" fontId="7" fillId="0" borderId="2" xfId="0" applyFont="1" applyFill="1" applyBorder="1"/>
    <xf numFmtId="0" fontId="7" fillId="0" borderId="1" xfId="0" applyFont="1" applyFill="1" applyBorder="1"/>
    <xf numFmtId="0" fontId="7" fillId="0" borderId="10" xfId="0" applyFont="1" applyFill="1" applyBorder="1"/>
    <xf numFmtId="0" fontId="8" fillId="0" borderId="0" xfId="0" applyFont="1" applyFill="1" applyAlignment="1">
      <alignment horizontal="right" textRotation="90" wrapText="1"/>
    </xf>
    <xf numFmtId="0" fontId="7" fillId="0" borderId="1" xfId="0" applyFont="1" applyFill="1" applyBorder="1" applyAlignment="1">
      <alignment horizontal="center" wrapText="1"/>
    </xf>
    <xf numFmtId="0" fontId="7" fillId="0" borderId="0" xfId="0" applyFont="1" applyFill="1" applyBorder="1" applyAlignment="1">
      <alignment horizontal="center" wrapText="1"/>
    </xf>
    <xf numFmtId="0" fontId="7" fillId="0" borderId="2" xfId="0" applyFont="1" applyFill="1" applyBorder="1" applyAlignment="1">
      <alignment horizontal="center" wrapText="1"/>
    </xf>
    <xf numFmtId="0" fontId="7" fillId="0" borderId="0" xfId="0" applyFont="1" applyFill="1" applyAlignment="1">
      <alignment horizontal="center" wrapText="1"/>
    </xf>
    <xf numFmtId="0" fontId="7" fillId="0" borderId="0" xfId="0" applyFont="1" applyFill="1" applyBorder="1" applyAlignment="1">
      <alignment horizontal="center" wrapText="1"/>
    </xf>
    <xf numFmtId="0" fontId="7" fillId="0" borderId="9" xfId="0" applyFont="1" applyFill="1" applyBorder="1" applyAlignment="1">
      <alignment horizontal="center" wrapText="1"/>
    </xf>
    <xf numFmtId="0" fontId="7" fillId="0" borderId="10" xfId="0" applyFont="1" applyFill="1" applyBorder="1" applyAlignment="1">
      <alignment horizontal="center" wrapText="1"/>
    </xf>
    <xf numFmtId="0" fontId="7" fillId="0" borderId="2" xfId="0" applyFont="1" applyFill="1" applyBorder="1" applyAlignment="1">
      <alignment horizontal="center" wrapText="1"/>
    </xf>
    <xf numFmtId="0" fontId="7" fillId="0" borderId="0" xfId="0" applyFont="1" applyFill="1" applyAlignment="1">
      <alignment textRotation="90"/>
    </xf>
    <xf numFmtId="0" fontId="7" fillId="0" borderId="1" xfId="0" applyFont="1" applyFill="1" applyBorder="1" applyAlignment="1">
      <alignment textRotation="90"/>
    </xf>
    <xf numFmtId="0" fontId="7" fillId="0" borderId="0" xfId="0" applyFont="1" applyFill="1" applyBorder="1" applyAlignment="1">
      <alignment textRotation="90"/>
    </xf>
    <xf numFmtId="0" fontId="7" fillId="0" borderId="2" xfId="0" applyFont="1" applyFill="1" applyBorder="1" applyAlignment="1">
      <alignment textRotation="90"/>
    </xf>
    <xf numFmtId="0" fontId="7" fillId="0" borderId="9" xfId="0" applyFont="1" applyFill="1" applyBorder="1" applyAlignment="1">
      <alignment textRotation="90"/>
    </xf>
    <xf numFmtId="0" fontId="7" fillId="0" borderId="10" xfId="0" applyFont="1" applyFill="1" applyBorder="1" applyAlignment="1">
      <alignment textRotation="90"/>
    </xf>
    <xf numFmtId="0" fontId="7" fillId="10" borderId="0" xfId="0" applyFont="1" applyFill="1" applyBorder="1" applyAlignment="1">
      <alignment textRotation="90"/>
    </xf>
    <xf numFmtId="0" fontId="7" fillId="0" borderId="0" xfId="0" applyFont="1" applyFill="1" applyAlignment="1"/>
    <xf numFmtId="0" fontId="7" fillId="0" borderId="0" xfId="0" applyFont="1" applyFill="1" applyAlignment="1">
      <alignment horizontal="right"/>
    </xf>
    <xf numFmtId="0" fontId="7" fillId="10" borderId="0" xfId="0" applyFont="1" applyFill="1" applyAlignment="1"/>
    <xf numFmtId="0" fontId="7" fillId="10" borderId="0" xfId="0" applyFont="1" applyFill="1" applyAlignment="1">
      <alignment wrapText="1"/>
    </xf>
    <xf numFmtId="0" fontId="7" fillId="10" borderId="0" xfId="0" applyFont="1" applyFill="1" applyAlignment="1">
      <alignment horizontal="right"/>
    </xf>
    <xf numFmtId="0" fontId="7" fillId="10" borderId="2" xfId="0" applyFont="1" applyFill="1" applyBorder="1" applyAlignment="1">
      <alignment textRotation="90"/>
    </xf>
    <xf numFmtId="0" fontId="7" fillId="10" borderId="0" xfId="0" applyFont="1" applyFill="1" applyAlignment="1">
      <alignment textRotation="90"/>
    </xf>
    <xf numFmtId="0" fontId="7" fillId="10" borderId="9" xfId="0" applyFont="1" applyFill="1" applyBorder="1" applyAlignment="1">
      <alignment textRotation="90"/>
    </xf>
    <xf numFmtId="0" fontId="7" fillId="10" borderId="10" xfId="0" applyFont="1" applyFill="1" applyBorder="1" applyAlignment="1">
      <alignment textRotation="90"/>
    </xf>
    <xf numFmtId="0" fontId="7" fillId="10" borderId="0" xfId="0" applyFont="1" applyFill="1"/>
    <xf numFmtId="0" fontId="7" fillId="0" borderId="9" xfId="0" applyFont="1" applyFill="1" applyBorder="1"/>
    <xf numFmtId="0" fontId="7" fillId="10" borderId="0" xfId="0" applyFont="1" applyFill="1" applyBorder="1"/>
    <xf numFmtId="0" fontId="7" fillId="0" borderId="1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9" fillId="0" borderId="0" xfId="0" applyFont="1" applyFill="1"/>
    <xf numFmtId="0" fontId="8" fillId="0" borderId="1" xfId="0" applyFont="1" applyFill="1" applyBorder="1"/>
    <xf numFmtId="0" fontId="8" fillId="0" borderId="0" xfId="0" applyFont="1" applyFill="1"/>
    <xf numFmtId="0" fontId="8" fillId="0" borderId="9" xfId="0" applyFont="1" applyFill="1" applyBorder="1"/>
    <xf numFmtId="0" fontId="8" fillId="0" borderId="0" xfId="0" applyFont="1" applyFill="1" applyBorder="1"/>
    <xf numFmtId="0" fontId="8" fillId="0" borderId="0" xfId="0" applyFont="1" applyFill="1" applyAlignment="1">
      <alignment horizontal="right" vertical="center" textRotation="90" wrapText="1"/>
    </xf>
    <xf numFmtId="0" fontId="8" fillId="0" borderId="0" xfId="0" applyFont="1" applyFill="1" applyAlignment="1">
      <alignment textRotation="90" wrapText="1"/>
    </xf>
    <xf numFmtId="0" fontId="8" fillId="0" borderId="0" xfId="0" applyFont="1" applyFill="1" applyAlignment="1">
      <alignment wrapText="1"/>
    </xf>
    <xf numFmtId="0" fontId="7" fillId="0" borderId="0" xfId="0" applyFont="1" applyFill="1" applyAlignment="1">
      <alignment textRotation="90" wrapText="1"/>
    </xf>
    <xf numFmtId="0" fontId="0" fillId="0" borderId="1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left" vertical="center" wrapText="1"/>
    </xf>
    <xf numFmtId="0" fontId="0" fillId="0" borderId="1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</cellXfs>
  <cellStyles count="525">
    <cellStyle name="Followed Hyperlink" xfId="68" builtinId="9" hidden="1"/>
    <cellStyle name="Followed Hyperlink" xfId="72" builtinId="9" hidden="1"/>
    <cellStyle name="Followed Hyperlink" xfId="76" builtinId="9" hidden="1"/>
    <cellStyle name="Followed Hyperlink" xfId="80" builtinId="9" hidden="1"/>
    <cellStyle name="Followed Hyperlink" xfId="84" builtinId="9" hidden="1"/>
    <cellStyle name="Followed Hyperlink" xfId="88" builtinId="9" hidden="1"/>
    <cellStyle name="Followed Hyperlink" xfId="92" builtinId="9" hidden="1"/>
    <cellStyle name="Followed Hyperlink" xfId="96" builtinId="9" hidden="1"/>
    <cellStyle name="Followed Hyperlink" xfId="100" builtinId="9" hidden="1"/>
    <cellStyle name="Followed Hyperlink" xfId="104" builtinId="9" hidden="1"/>
    <cellStyle name="Followed Hyperlink" xfId="108" builtinId="9" hidden="1"/>
    <cellStyle name="Followed Hyperlink" xfId="112" builtinId="9" hidden="1"/>
    <cellStyle name="Followed Hyperlink" xfId="116" builtinId="9" hidden="1"/>
    <cellStyle name="Followed Hyperlink" xfId="120" builtinId="9" hidden="1"/>
    <cellStyle name="Followed Hyperlink" xfId="124" builtinId="9" hidden="1"/>
    <cellStyle name="Followed Hyperlink" xfId="128" builtinId="9" hidden="1"/>
    <cellStyle name="Followed Hyperlink" xfId="132" builtinId="9" hidden="1"/>
    <cellStyle name="Followed Hyperlink" xfId="136" builtinId="9" hidden="1"/>
    <cellStyle name="Followed Hyperlink" xfId="140" builtinId="9" hidden="1"/>
    <cellStyle name="Followed Hyperlink" xfId="144" builtinId="9" hidden="1"/>
    <cellStyle name="Followed Hyperlink" xfId="148" builtinId="9" hidden="1"/>
    <cellStyle name="Followed Hyperlink" xfId="152" builtinId="9" hidden="1"/>
    <cellStyle name="Followed Hyperlink" xfId="156" builtinId="9" hidden="1"/>
    <cellStyle name="Followed Hyperlink" xfId="160" builtinId="9" hidden="1"/>
    <cellStyle name="Followed Hyperlink" xfId="164" builtinId="9" hidden="1"/>
    <cellStyle name="Followed Hyperlink" xfId="168" builtinId="9" hidden="1"/>
    <cellStyle name="Followed Hyperlink" xfId="172" builtinId="9" hidden="1"/>
    <cellStyle name="Followed Hyperlink" xfId="176" builtinId="9" hidden="1"/>
    <cellStyle name="Followed Hyperlink" xfId="180" builtinId="9" hidden="1"/>
    <cellStyle name="Followed Hyperlink" xfId="184" builtinId="9" hidden="1"/>
    <cellStyle name="Followed Hyperlink" xfId="188" builtinId="9" hidden="1"/>
    <cellStyle name="Followed Hyperlink" xfId="192" builtinId="9" hidden="1"/>
    <cellStyle name="Followed Hyperlink" xfId="196" builtinId="9" hidden="1"/>
    <cellStyle name="Followed Hyperlink" xfId="200" builtinId="9" hidden="1"/>
    <cellStyle name="Followed Hyperlink" xfId="204" builtinId="9" hidden="1"/>
    <cellStyle name="Followed Hyperlink" xfId="208" builtinId="9" hidden="1"/>
    <cellStyle name="Followed Hyperlink" xfId="212" builtinId="9" hidden="1"/>
    <cellStyle name="Followed Hyperlink" xfId="216" builtinId="9" hidden="1"/>
    <cellStyle name="Followed Hyperlink" xfId="220" builtinId="9" hidden="1"/>
    <cellStyle name="Followed Hyperlink" xfId="224" builtinId="9" hidden="1"/>
    <cellStyle name="Followed Hyperlink" xfId="228" builtinId="9" hidden="1"/>
    <cellStyle name="Followed Hyperlink" xfId="232" builtinId="9" hidden="1"/>
    <cellStyle name="Followed Hyperlink" xfId="236" builtinId="9" hidden="1"/>
    <cellStyle name="Followed Hyperlink" xfId="240" builtinId="9" hidden="1"/>
    <cellStyle name="Followed Hyperlink" xfId="244" builtinId="9" hidden="1"/>
    <cellStyle name="Followed Hyperlink" xfId="248" builtinId="9" hidden="1"/>
    <cellStyle name="Followed Hyperlink" xfId="252" builtinId="9" hidden="1"/>
    <cellStyle name="Followed Hyperlink" xfId="256" builtinId="9" hidden="1"/>
    <cellStyle name="Followed Hyperlink" xfId="260" builtinId="9" hidden="1"/>
    <cellStyle name="Followed Hyperlink" xfId="264" builtinId="9" hidden="1"/>
    <cellStyle name="Followed Hyperlink" xfId="268" builtinId="9" hidden="1"/>
    <cellStyle name="Followed Hyperlink" xfId="272" builtinId="9" hidden="1"/>
    <cellStyle name="Followed Hyperlink" xfId="276" builtinId="9" hidden="1"/>
    <cellStyle name="Followed Hyperlink" xfId="280" builtinId="9" hidden="1"/>
    <cellStyle name="Followed Hyperlink" xfId="284" builtinId="9" hidden="1"/>
    <cellStyle name="Followed Hyperlink" xfId="288" builtinId="9" hidden="1"/>
    <cellStyle name="Followed Hyperlink" xfId="292" builtinId="9" hidden="1"/>
    <cellStyle name="Followed Hyperlink" xfId="296" builtinId="9" hidden="1"/>
    <cellStyle name="Followed Hyperlink" xfId="300" builtinId="9" hidden="1"/>
    <cellStyle name="Followed Hyperlink" xfId="304" builtinId="9" hidden="1"/>
    <cellStyle name="Followed Hyperlink" xfId="308" builtinId="9" hidden="1"/>
    <cellStyle name="Followed Hyperlink" xfId="312" builtinId="9" hidden="1"/>
    <cellStyle name="Followed Hyperlink" xfId="316" builtinId="9" hidden="1"/>
    <cellStyle name="Followed Hyperlink" xfId="320" builtinId="9" hidden="1"/>
    <cellStyle name="Followed Hyperlink" xfId="324" builtinId="9" hidden="1"/>
    <cellStyle name="Followed Hyperlink" xfId="328" builtinId="9" hidden="1"/>
    <cellStyle name="Followed Hyperlink" xfId="332" builtinId="9" hidden="1"/>
    <cellStyle name="Followed Hyperlink" xfId="336" builtinId="9" hidden="1"/>
    <cellStyle name="Followed Hyperlink" xfId="340" builtinId="9" hidden="1"/>
    <cellStyle name="Followed Hyperlink" xfId="344" builtinId="9" hidden="1"/>
    <cellStyle name="Followed Hyperlink" xfId="348" builtinId="9" hidden="1"/>
    <cellStyle name="Followed Hyperlink" xfId="352" builtinId="9" hidden="1"/>
    <cellStyle name="Followed Hyperlink" xfId="356" builtinId="9" hidden="1"/>
    <cellStyle name="Followed Hyperlink" xfId="360" builtinId="9" hidden="1"/>
    <cellStyle name="Followed Hyperlink" xfId="364" builtinId="9" hidden="1"/>
    <cellStyle name="Followed Hyperlink" xfId="368" builtinId="9" hidden="1"/>
    <cellStyle name="Followed Hyperlink" xfId="372" builtinId="9" hidden="1"/>
    <cellStyle name="Followed Hyperlink" xfId="376" builtinId="9" hidden="1"/>
    <cellStyle name="Followed Hyperlink" xfId="380" builtinId="9" hidden="1"/>
    <cellStyle name="Followed Hyperlink" xfId="382" builtinId="9" hidden="1"/>
    <cellStyle name="Followed Hyperlink" xfId="378" builtinId="9" hidden="1"/>
    <cellStyle name="Followed Hyperlink" xfId="374" builtinId="9" hidden="1"/>
    <cellStyle name="Followed Hyperlink" xfId="370" builtinId="9" hidden="1"/>
    <cellStyle name="Followed Hyperlink" xfId="366" builtinId="9" hidden="1"/>
    <cellStyle name="Followed Hyperlink" xfId="362" builtinId="9" hidden="1"/>
    <cellStyle name="Followed Hyperlink" xfId="358" builtinId="9" hidden="1"/>
    <cellStyle name="Followed Hyperlink" xfId="354" builtinId="9" hidden="1"/>
    <cellStyle name="Followed Hyperlink" xfId="350" builtinId="9" hidden="1"/>
    <cellStyle name="Followed Hyperlink" xfId="346" builtinId="9" hidden="1"/>
    <cellStyle name="Followed Hyperlink" xfId="342" builtinId="9" hidden="1"/>
    <cellStyle name="Followed Hyperlink" xfId="338" builtinId="9" hidden="1"/>
    <cellStyle name="Followed Hyperlink" xfId="334" builtinId="9" hidden="1"/>
    <cellStyle name="Followed Hyperlink" xfId="330" builtinId="9" hidden="1"/>
    <cellStyle name="Followed Hyperlink" xfId="326" builtinId="9" hidden="1"/>
    <cellStyle name="Followed Hyperlink" xfId="322" builtinId="9" hidden="1"/>
    <cellStyle name="Followed Hyperlink" xfId="318" builtinId="9" hidden="1"/>
    <cellStyle name="Followed Hyperlink" xfId="314" builtinId="9" hidden="1"/>
    <cellStyle name="Followed Hyperlink" xfId="310" builtinId="9" hidden="1"/>
    <cellStyle name="Followed Hyperlink" xfId="306" builtinId="9" hidden="1"/>
    <cellStyle name="Followed Hyperlink" xfId="302" builtinId="9" hidden="1"/>
    <cellStyle name="Followed Hyperlink" xfId="298" builtinId="9" hidden="1"/>
    <cellStyle name="Followed Hyperlink" xfId="294" builtinId="9" hidden="1"/>
    <cellStyle name="Followed Hyperlink" xfId="290" builtinId="9" hidden="1"/>
    <cellStyle name="Followed Hyperlink" xfId="286" builtinId="9" hidden="1"/>
    <cellStyle name="Followed Hyperlink" xfId="282" builtinId="9" hidden="1"/>
    <cellStyle name="Followed Hyperlink" xfId="278" builtinId="9" hidden="1"/>
    <cellStyle name="Followed Hyperlink" xfId="274" builtinId="9" hidden="1"/>
    <cellStyle name="Followed Hyperlink" xfId="270" builtinId="9" hidden="1"/>
    <cellStyle name="Followed Hyperlink" xfId="266" builtinId="9" hidden="1"/>
    <cellStyle name="Followed Hyperlink" xfId="262" builtinId="9" hidden="1"/>
    <cellStyle name="Followed Hyperlink" xfId="258" builtinId="9" hidden="1"/>
    <cellStyle name="Followed Hyperlink" xfId="254" builtinId="9" hidden="1"/>
    <cellStyle name="Followed Hyperlink" xfId="250" builtinId="9" hidden="1"/>
    <cellStyle name="Followed Hyperlink" xfId="246" builtinId="9" hidden="1"/>
    <cellStyle name="Followed Hyperlink" xfId="242" builtinId="9" hidden="1"/>
    <cellStyle name="Followed Hyperlink" xfId="238" builtinId="9" hidden="1"/>
    <cellStyle name="Followed Hyperlink" xfId="234" builtinId="9" hidden="1"/>
    <cellStyle name="Followed Hyperlink" xfId="230" builtinId="9" hidden="1"/>
    <cellStyle name="Followed Hyperlink" xfId="226" builtinId="9" hidden="1"/>
    <cellStyle name="Followed Hyperlink" xfId="222" builtinId="9" hidden="1"/>
    <cellStyle name="Followed Hyperlink" xfId="218" builtinId="9" hidden="1"/>
    <cellStyle name="Followed Hyperlink" xfId="214" builtinId="9" hidden="1"/>
    <cellStyle name="Followed Hyperlink" xfId="210" builtinId="9" hidden="1"/>
    <cellStyle name="Followed Hyperlink" xfId="206" builtinId="9" hidden="1"/>
    <cellStyle name="Followed Hyperlink" xfId="202" builtinId="9" hidden="1"/>
    <cellStyle name="Followed Hyperlink" xfId="198" builtinId="9" hidden="1"/>
    <cellStyle name="Followed Hyperlink" xfId="194" builtinId="9" hidden="1"/>
    <cellStyle name="Followed Hyperlink" xfId="190" builtinId="9" hidden="1"/>
    <cellStyle name="Followed Hyperlink" xfId="186" builtinId="9" hidden="1"/>
    <cellStyle name="Followed Hyperlink" xfId="182" builtinId="9" hidden="1"/>
    <cellStyle name="Followed Hyperlink" xfId="178" builtinId="9" hidden="1"/>
    <cellStyle name="Followed Hyperlink" xfId="174" builtinId="9" hidden="1"/>
    <cellStyle name="Followed Hyperlink" xfId="170" builtinId="9" hidden="1"/>
    <cellStyle name="Followed Hyperlink" xfId="166" builtinId="9" hidden="1"/>
    <cellStyle name="Followed Hyperlink" xfId="162" builtinId="9" hidden="1"/>
    <cellStyle name="Followed Hyperlink" xfId="158" builtinId="9" hidden="1"/>
    <cellStyle name="Followed Hyperlink" xfId="154" builtinId="9" hidden="1"/>
    <cellStyle name="Followed Hyperlink" xfId="150" builtinId="9" hidden="1"/>
    <cellStyle name="Followed Hyperlink" xfId="146" builtinId="9" hidden="1"/>
    <cellStyle name="Followed Hyperlink" xfId="142" builtinId="9" hidden="1"/>
    <cellStyle name="Followed Hyperlink" xfId="138" builtinId="9" hidden="1"/>
    <cellStyle name="Followed Hyperlink" xfId="134" builtinId="9" hidden="1"/>
    <cellStyle name="Followed Hyperlink" xfId="130" builtinId="9" hidden="1"/>
    <cellStyle name="Followed Hyperlink" xfId="126" builtinId="9" hidden="1"/>
    <cellStyle name="Followed Hyperlink" xfId="122" builtinId="9" hidden="1"/>
    <cellStyle name="Followed Hyperlink" xfId="118" builtinId="9" hidden="1"/>
    <cellStyle name="Followed Hyperlink" xfId="114" builtinId="9" hidden="1"/>
    <cellStyle name="Followed Hyperlink" xfId="110" builtinId="9" hidden="1"/>
    <cellStyle name="Followed Hyperlink" xfId="106" builtinId="9" hidden="1"/>
    <cellStyle name="Followed Hyperlink" xfId="102" builtinId="9" hidden="1"/>
    <cellStyle name="Followed Hyperlink" xfId="98" builtinId="9" hidden="1"/>
    <cellStyle name="Followed Hyperlink" xfId="94" builtinId="9" hidden="1"/>
    <cellStyle name="Followed Hyperlink" xfId="90" builtinId="9" hidden="1"/>
    <cellStyle name="Followed Hyperlink" xfId="86" builtinId="9" hidden="1"/>
    <cellStyle name="Followed Hyperlink" xfId="82" builtinId="9" hidden="1"/>
    <cellStyle name="Followed Hyperlink" xfId="78" builtinId="9" hidden="1"/>
    <cellStyle name="Followed Hyperlink" xfId="74" builtinId="9" hidden="1"/>
    <cellStyle name="Followed Hyperlink" xfId="70" builtinId="9" hidden="1"/>
    <cellStyle name="Followed Hyperlink" xfId="66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4" builtinId="9" hidden="1"/>
    <cellStyle name="Followed Hyperlink" xfId="62" builtinId="9" hidden="1"/>
    <cellStyle name="Followed Hyperlink" xfId="54" builtinId="9" hidden="1"/>
    <cellStyle name="Followed Hyperlink" xfId="46" builtinId="9" hidden="1"/>
    <cellStyle name="Followed Hyperlink" xfId="38" builtinId="9" hidden="1"/>
    <cellStyle name="Followed Hyperlink" xfId="30" builtinId="9" hidden="1"/>
    <cellStyle name="Followed Hyperlink" xfId="22" builtinId="9" hidden="1"/>
    <cellStyle name="Followed Hyperlink" xfId="10" builtinId="9" hidden="1"/>
    <cellStyle name="Followed Hyperlink" xfId="12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14" builtinId="9" hidden="1"/>
    <cellStyle name="Followed Hyperlink" xfId="6" builtinId="9" hidden="1"/>
    <cellStyle name="Followed Hyperlink" xfId="8" builtinId="9" hidden="1"/>
    <cellStyle name="Followed Hyperlink" xfId="4" builtinId="9" hidden="1"/>
    <cellStyle name="Followed Hyperlink" xfId="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Hyperlink" xfId="153" builtinId="8" hidden="1"/>
    <cellStyle name="Hyperlink" xfId="157" builtinId="8" hidden="1"/>
    <cellStyle name="Hyperlink" xfId="159" builtinId="8" hidden="1"/>
    <cellStyle name="Hyperlink" xfId="161" builtinId="8" hidden="1"/>
    <cellStyle name="Hyperlink" xfId="165" builtinId="8" hidden="1"/>
    <cellStyle name="Hyperlink" xfId="167" builtinId="8" hidden="1"/>
    <cellStyle name="Hyperlink" xfId="169" builtinId="8" hidden="1"/>
    <cellStyle name="Hyperlink" xfId="173" builtinId="8" hidden="1"/>
    <cellStyle name="Hyperlink" xfId="175" builtinId="8" hidden="1"/>
    <cellStyle name="Hyperlink" xfId="177" builtinId="8" hidden="1"/>
    <cellStyle name="Hyperlink" xfId="181" builtinId="8" hidden="1"/>
    <cellStyle name="Hyperlink" xfId="183" builtinId="8" hidden="1"/>
    <cellStyle name="Hyperlink" xfId="185" builtinId="8" hidden="1"/>
    <cellStyle name="Hyperlink" xfId="189" builtinId="8" hidden="1"/>
    <cellStyle name="Hyperlink" xfId="191" builtinId="8" hidden="1"/>
    <cellStyle name="Hyperlink" xfId="193" builtinId="8" hidden="1"/>
    <cellStyle name="Hyperlink" xfId="197" builtinId="8" hidden="1"/>
    <cellStyle name="Hyperlink" xfId="199" builtinId="8" hidden="1"/>
    <cellStyle name="Hyperlink" xfId="201" builtinId="8" hidden="1"/>
    <cellStyle name="Hyperlink" xfId="205" builtinId="8" hidden="1"/>
    <cellStyle name="Hyperlink" xfId="207" builtinId="8" hidden="1"/>
    <cellStyle name="Hyperlink" xfId="209" builtinId="8" hidden="1"/>
    <cellStyle name="Hyperlink" xfId="213" builtinId="8" hidden="1"/>
    <cellStyle name="Hyperlink" xfId="215" builtinId="8" hidden="1"/>
    <cellStyle name="Hyperlink" xfId="217" builtinId="8" hidden="1"/>
    <cellStyle name="Hyperlink" xfId="221" builtinId="8" hidden="1"/>
    <cellStyle name="Hyperlink" xfId="223" builtinId="8" hidden="1"/>
    <cellStyle name="Hyperlink" xfId="225" builtinId="8" hidden="1"/>
    <cellStyle name="Hyperlink" xfId="229" builtinId="8" hidden="1"/>
    <cellStyle name="Hyperlink" xfId="231" builtinId="8" hidden="1"/>
    <cellStyle name="Hyperlink" xfId="233" builtinId="8" hidden="1"/>
    <cellStyle name="Hyperlink" xfId="237" builtinId="8" hidden="1"/>
    <cellStyle name="Hyperlink" xfId="239" builtinId="8" hidden="1"/>
    <cellStyle name="Hyperlink" xfId="241" builtinId="8" hidden="1"/>
    <cellStyle name="Hyperlink" xfId="245" builtinId="8" hidden="1"/>
    <cellStyle name="Hyperlink" xfId="247" builtinId="8" hidden="1"/>
    <cellStyle name="Hyperlink" xfId="249" builtinId="8" hidden="1"/>
    <cellStyle name="Hyperlink" xfId="253" builtinId="8" hidden="1"/>
    <cellStyle name="Hyperlink" xfId="255" builtinId="8" hidden="1"/>
    <cellStyle name="Hyperlink" xfId="257" builtinId="8" hidden="1"/>
    <cellStyle name="Hyperlink" xfId="261" builtinId="8" hidden="1"/>
    <cellStyle name="Hyperlink" xfId="263" builtinId="8" hidden="1"/>
    <cellStyle name="Hyperlink" xfId="265" builtinId="8" hidden="1"/>
    <cellStyle name="Hyperlink" xfId="269" builtinId="8" hidden="1"/>
    <cellStyle name="Hyperlink" xfId="271" builtinId="8" hidden="1"/>
    <cellStyle name="Hyperlink" xfId="273" builtinId="8" hidden="1"/>
    <cellStyle name="Hyperlink" xfId="277" builtinId="8" hidden="1"/>
    <cellStyle name="Hyperlink" xfId="279" builtinId="8" hidden="1"/>
    <cellStyle name="Hyperlink" xfId="281" builtinId="8" hidden="1"/>
    <cellStyle name="Hyperlink" xfId="285" builtinId="8" hidden="1"/>
    <cellStyle name="Hyperlink" xfId="287" builtinId="8" hidden="1"/>
    <cellStyle name="Hyperlink" xfId="289" builtinId="8" hidden="1"/>
    <cellStyle name="Hyperlink" xfId="293" builtinId="8" hidden="1"/>
    <cellStyle name="Hyperlink" xfId="295" builtinId="8" hidden="1"/>
    <cellStyle name="Hyperlink" xfId="297" builtinId="8" hidden="1"/>
    <cellStyle name="Hyperlink" xfId="301" builtinId="8" hidden="1"/>
    <cellStyle name="Hyperlink" xfId="303" builtinId="8" hidden="1"/>
    <cellStyle name="Hyperlink" xfId="305" builtinId="8" hidden="1"/>
    <cellStyle name="Hyperlink" xfId="309" builtinId="8" hidden="1"/>
    <cellStyle name="Hyperlink" xfId="311" builtinId="8" hidden="1"/>
    <cellStyle name="Hyperlink" xfId="313" builtinId="8" hidden="1"/>
    <cellStyle name="Hyperlink" xfId="317" builtinId="8" hidden="1"/>
    <cellStyle name="Hyperlink" xfId="319" builtinId="8" hidden="1"/>
    <cellStyle name="Hyperlink" xfId="321" builtinId="8" hidden="1"/>
    <cellStyle name="Hyperlink" xfId="325" builtinId="8" hidden="1"/>
    <cellStyle name="Hyperlink" xfId="327" builtinId="8" hidden="1"/>
    <cellStyle name="Hyperlink" xfId="329" builtinId="8" hidden="1"/>
    <cellStyle name="Hyperlink" xfId="333" builtinId="8" hidden="1"/>
    <cellStyle name="Hyperlink" xfId="335" builtinId="8" hidden="1"/>
    <cellStyle name="Hyperlink" xfId="337" builtinId="8" hidden="1"/>
    <cellStyle name="Hyperlink" xfId="341" builtinId="8" hidden="1"/>
    <cellStyle name="Hyperlink" xfId="343" builtinId="8" hidden="1"/>
    <cellStyle name="Hyperlink" xfId="345" builtinId="8" hidden="1"/>
    <cellStyle name="Hyperlink" xfId="349" builtinId="8" hidden="1"/>
    <cellStyle name="Hyperlink" xfId="351" builtinId="8" hidden="1"/>
    <cellStyle name="Hyperlink" xfId="353" builtinId="8" hidden="1"/>
    <cellStyle name="Hyperlink" xfId="357" builtinId="8" hidden="1"/>
    <cellStyle name="Hyperlink" xfId="359" builtinId="8" hidden="1"/>
    <cellStyle name="Hyperlink" xfId="361" builtinId="8" hidden="1"/>
    <cellStyle name="Hyperlink" xfId="365" builtinId="8" hidden="1"/>
    <cellStyle name="Hyperlink" xfId="367" builtinId="8" hidden="1"/>
    <cellStyle name="Hyperlink" xfId="369" builtinId="8" hidden="1"/>
    <cellStyle name="Hyperlink" xfId="373" builtinId="8" hidden="1"/>
    <cellStyle name="Hyperlink" xfId="375" builtinId="8" hidden="1"/>
    <cellStyle name="Hyperlink" xfId="377" builtinId="8" hidden="1"/>
    <cellStyle name="Hyperlink" xfId="381" builtinId="8" hidden="1"/>
    <cellStyle name="Hyperlink" xfId="379" builtinId="8" hidden="1"/>
    <cellStyle name="Hyperlink" xfId="371" builtinId="8" hidden="1"/>
    <cellStyle name="Hyperlink" xfId="363" builtinId="8" hidden="1"/>
    <cellStyle name="Hyperlink" xfId="355" builtinId="8" hidden="1"/>
    <cellStyle name="Hyperlink" xfId="347" builtinId="8" hidden="1"/>
    <cellStyle name="Hyperlink" xfId="339" builtinId="8" hidden="1"/>
    <cellStyle name="Hyperlink" xfId="331" builtinId="8" hidden="1"/>
    <cellStyle name="Hyperlink" xfId="323" builtinId="8" hidden="1"/>
    <cellStyle name="Hyperlink" xfId="315" builtinId="8" hidden="1"/>
    <cellStyle name="Hyperlink" xfId="307" builtinId="8" hidden="1"/>
    <cellStyle name="Hyperlink" xfId="299" builtinId="8" hidden="1"/>
    <cellStyle name="Hyperlink" xfId="291" builtinId="8" hidden="1"/>
    <cellStyle name="Hyperlink" xfId="283" builtinId="8" hidden="1"/>
    <cellStyle name="Hyperlink" xfId="275" builtinId="8" hidden="1"/>
    <cellStyle name="Hyperlink" xfId="267" builtinId="8" hidden="1"/>
    <cellStyle name="Hyperlink" xfId="259" builtinId="8" hidden="1"/>
    <cellStyle name="Hyperlink" xfId="251" builtinId="8" hidden="1"/>
    <cellStyle name="Hyperlink" xfId="243" builtinId="8" hidden="1"/>
    <cellStyle name="Hyperlink" xfId="235" builtinId="8" hidden="1"/>
    <cellStyle name="Hyperlink" xfId="227" builtinId="8" hidden="1"/>
    <cellStyle name="Hyperlink" xfId="219" builtinId="8" hidden="1"/>
    <cellStyle name="Hyperlink" xfId="211" builtinId="8" hidden="1"/>
    <cellStyle name="Hyperlink" xfId="203" builtinId="8" hidden="1"/>
    <cellStyle name="Hyperlink" xfId="195" builtinId="8" hidden="1"/>
    <cellStyle name="Hyperlink" xfId="187" builtinId="8" hidden="1"/>
    <cellStyle name="Hyperlink" xfId="179" builtinId="8" hidden="1"/>
    <cellStyle name="Hyperlink" xfId="171" builtinId="8" hidden="1"/>
    <cellStyle name="Hyperlink" xfId="163" builtinId="8" hidden="1"/>
    <cellStyle name="Hyperlink" xfId="155" builtinId="8" hidden="1"/>
    <cellStyle name="Hyperlink" xfId="65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9" builtinId="8" hidden="1"/>
    <cellStyle name="Hyperlink" xfId="151" builtinId="8" hidden="1"/>
    <cellStyle name="Hyperlink" xfId="147" builtinId="8" hidden="1"/>
    <cellStyle name="Hyperlink" xfId="131" builtinId="8" hidden="1"/>
    <cellStyle name="Hyperlink" xfId="115" builtinId="8" hidden="1"/>
    <cellStyle name="Hyperlink" xfId="99" builtinId="8" hidden="1"/>
    <cellStyle name="Hyperlink" xfId="83" builtinId="8" hidden="1"/>
    <cellStyle name="Hyperlink" xfId="67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51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3" builtinId="8" hidden="1"/>
    <cellStyle name="Hyperlink" xfId="5" builtinId="8" hidden="1"/>
    <cellStyle name="Hyperlink" xfId="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auto="1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auto="1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auto="1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openxmlformats.org/officeDocument/2006/relationships/customXml" Target="../customXml/item1.xml"/><Relationship Id="rId13" Type="http://schemas.openxmlformats.org/officeDocument/2006/relationships/customXml" Target="../customXml/item2.xml"/><Relationship Id="rId14" Type="http://schemas.openxmlformats.org/officeDocument/2006/relationships/customXml" Target="../customXml/item3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D67"/>
  <sheetViews>
    <sheetView workbookViewId="0">
      <pane xSplit="3" ySplit="4" topLeftCell="D5" activePane="bottomRight" state="frozenSplit"/>
      <selection pane="topRight" activeCell="D1" sqref="D1"/>
      <selection pane="bottomLeft" activeCell="A6" sqref="A6"/>
      <selection pane="bottomRight" activeCell="A5" sqref="A5"/>
    </sheetView>
  </sheetViews>
  <sheetFormatPr baseColWidth="10" defaultColWidth="11" defaultRowHeight="13" x14ac:dyDescent="0"/>
  <cols>
    <col min="2" max="2" width="20" bestFit="1" customWidth="1"/>
    <col min="3" max="3" width="16.5703125" customWidth="1"/>
    <col min="4" max="4" width="3" bestFit="1" customWidth="1"/>
    <col min="5" max="5" width="3" customWidth="1"/>
    <col min="6" max="9" width="11.140625" customWidth="1"/>
    <col min="10" max="10" width="3" style="8" bestFit="1" customWidth="1"/>
    <col min="11" max="11" width="5" bestFit="1" customWidth="1"/>
    <col min="12" max="16" width="12.5703125" customWidth="1"/>
    <col min="17" max="17" width="2" style="8" bestFit="1" customWidth="1"/>
    <col min="18" max="18" width="2" bestFit="1" customWidth="1"/>
    <col min="19" max="19" width="12.85546875" bestFit="1" customWidth="1"/>
    <col min="20" max="20" width="11.7109375" customWidth="1"/>
  </cols>
  <sheetData>
    <row r="1" spans="1:30" ht="20">
      <c r="D1" s="87" t="s">
        <v>310</v>
      </c>
      <c r="E1" s="88"/>
      <c r="F1" s="88"/>
      <c r="G1" s="88"/>
      <c r="H1" s="88"/>
      <c r="I1" s="89"/>
      <c r="J1" s="82" t="s">
        <v>311</v>
      </c>
      <c r="K1" s="83"/>
      <c r="L1" s="83"/>
      <c r="M1" s="83"/>
      <c r="N1" s="83"/>
      <c r="O1" s="83"/>
      <c r="P1" s="84"/>
      <c r="Q1" s="82" t="s">
        <v>312</v>
      </c>
      <c r="R1" s="83"/>
      <c r="S1" s="83"/>
      <c r="T1" s="83"/>
      <c r="U1" s="83"/>
      <c r="V1" s="83"/>
      <c r="W1" s="84"/>
      <c r="X1" s="82" t="s">
        <v>313</v>
      </c>
      <c r="Y1" s="83"/>
      <c r="Z1" s="83"/>
      <c r="AA1" s="83"/>
      <c r="AB1" s="83"/>
      <c r="AC1" s="83"/>
      <c r="AD1" s="84"/>
    </row>
    <row r="2" spans="1:30">
      <c r="C2" s="9" t="s">
        <v>314</v>
      </c>
      <c r="D2" s="3">
        <f>COUNTIF(D5:D67,"Y")</f>
        <v>0</v>
      </c>
      <c r="E2" s="1"/>
      <c r="F2" s="1"/>
      <c r="G2" s="1"/>
      <c r="H2" s="1"/>
      <c r="I2" s="2"/>
      <c r="J2" s="4">
        <f>COUNTIF(J5:J67,"Y")</f>
        <v>1</v>
      </c>
      <c r="K2" s="1"/>
      <c r="L2" s="1"/>
      <c r="M2" s="1"/>
      <c r="N2" s="1"/>
      <c r="O2" s="1"/>
      <c r="P2" s="2"/>
      <c r="Q2" s="4">
        <f>COUNTIF(Q5:Q67,"Y")</f>
        <v>0</v>
      </c>
      <c r="R2" s="1"/>
      <c r="S2" s="1"/>
      <c r="T2" s="1"/>
      <c r="U2" s="1"/>
      <c r="V2" s="1"/>
      <c r="W2" s="2"/>
      <c r="X2" s="4">
        <f>COUNTIF(X5:X51,"Y")</f>
        <v>0</v>
      </c>
      <c r="Y2" s="1"/>
      <c r="Z2" s="1"/>
      <c r="AA2" s="1"/>
      <c r="AB2" s="1"/>
      <c r="AC2" s="1"/>
      <c r="AD2" s="2"/>
    </row>
    <row r="3" spans="1:30">
      <c r="B3" s="9"/>
      <c r="C3" s="9"/>
      <c r="D3" s="4"/>
      <c r="E3" s="5" t="s">
        <v>315</v>
      </c>
      <c r="F3" s="85" t="s">
        <v>316</v>
      </c>
      <c r="G3" s="85"/>
      <c r="H3" s="85"/>
      <c r="I3" s="86"/>
      <c r="J3" s="4"/>
      <c r="K3" s="1"/>
      <c r="L3" s="85" t="s">
        <v>316</v>
      </c>
      <c r="M3" s="85"/>
      <c r="N3" s="85"/>
      <c r="O3" s="85"/>
      <c r="P3" s="86"/>
      <c r="Q3" s="4"/>
      <c r="R3" s="1"/>
      <c r="S3" s="85" t="s">
        <v>316</v>
      </c>
      <c r="T3" s="85"/>
      <c r="U3" s="85"/>
      <c r="V3" s="85"/>
      <c r="W3" s="86"/>
      <c r="X3" s="4"/>
      <c r="Y3" s="1"/>
      <c r="Z3" s="85" t="s">
        <v>316</v>
      </c>
      <c r="AA3" s="85"/>
      <c r="AB3" s="85"/>
      <c r="AC3" s="85"/>
      <c r="AD3" s="86"/>
    </row>
    <row r="4" spans="1:30">
      <c r="A4" t="s">
        <v>317</v>
      </c>
      <c r="B4" t="s">
        <v>318</v>
      </c>
      <c r="C4" t="s">
        <v>319</v>
      </c>
      <c r="D4" s="4"/>
      <c r="E4" s="5"/>
      <c r="F4" s="15" t="s">
        <v>320</v>
      </c>
      <c r="G4" s="15" t="s">
        <v>234</v>
      </c>
      <c r="H4" s="15" t="s">
        <v>321</v>
      </c>
      <c r="I4" s="16" t="s">
        <v>322</v>
      </c>
      <c r="J4" s="17"/>
      <c r="K4" s="18"/>
      <c r="L4" s="15" t="s">
        <v>320</v>
      </c>
      <c r="M4" s="15" t="s">
        <v>323</v>
      </c>
      <c r="N4" s="15" t="s">
        <v>234</v>
      </c>
      <c r="O4" s="15" t="s">
        <v>321</v>
      </c>
      <c r="P4" s="16" t="s">
        <v>322</v>
      </c>
      <c r="Q4" s="17"/>
      <c r="R4" s="18"/>
      <c r="S4" s="15" t="s">
        <v>320</v>
      </c>
      <c r="T4" s="15" t="s">
        <v>323</v>
      </c>
      <c r="U4" s="15" t="s">
        <v>234</v>
      </c>
      <c r="V4" s="15" t="s">
        <v>321</v>
      </c>
      <c r="W4" s="16" t="s">
        <v>322</v>
      </c>
      <c r="X4" s="17"/>
      <c r="Y4" s="18"/>
      <c r="Z4" s="15" t="s">
        <v>320</v>
      </c>
      <c r="AA4" s="15" t="s">
        <v>323</v>
      </c>
      <c r="AB4" s="15" t="s">
        <v>234</v>
      </c>
      <c r="AC4" s="15" t="s">
        <v>321</v>
      </c>
      <c r="AD4" s="16" t="s">
        <v>322</v>
      </c>
    </row>
    <row r="5" spans="1:30">
      <c r="A5" t="s">
        <v>324</v>
      </c>
      <c r="B5" s="51" t="s">
        <v>325</v>
      </c>
      <c r="C5" s="62" t="s">
        <v>325</v>
      </c>
      <c r="D5" s="52" t="str">
        <f t="shared" ref="D5:D36" si="0">IF(COUNTIF(WnSAssignmentMoveShip,$A5)&gt;0,"Y","-")</f>
        <v>-</v>
      </c>
      <c r="E5" s="53" t="str">
        <f t="array" ref="E5">IF(D5="Y",MAX(IF(WnSAssignmentMoveShip=A5,TaskRankRequirements)),"")</f>
        <v/>
      </c>
      <c r="F5" s="54" t="s">
        <v>326</v>
      </c>
      <c r="G5" s="54" t="s">
        <v>327</v>
      </c>
      <c r="H5" s="54"/>
      <c r="I5" s="55"/>
      <c r="J5" s="52" t="str">
        <f t="shared" ref="J5:J36" si="1">IF(COUNTIF(WnSAssignmentHarbourCruise,$A5)&gt;0,"Y","-")</f>
        <v>-</v>
      </c>
      <c r="K5" s="53" t="str">
        <f t="array" ref="K5">IF(J5="Y",MAX(IF(WnSAssignmentHarbourCruise=$A5,TaskRankRequirements)),"")</f>
        <v/>
      </c>
      <c r="L5" s="54" t="s">
        <v>326</v>
      </c>
      <c r="M5" s="54" t="s">
        <v>326</v>
      </c>
      <c r="N5" s="54" t="s">
        <v>326</v>
      </c>
      <c r="O5" s="54" t="s">
        <v>326</v>
      </c>
      <c r="P5" s="78" t="s">
        <v>326</v>
      </c>
      <c r="Q5" s="52" t="str">
        <f t="shared" ref="Q5:Q36" si="2">IF(COUNTIF(WnSAssignmentDaySail,$A5)&gt;0,"Y","-")</f>
        <v>-</v>
      </c>
      <c r="R5" s="54" t="str">
        <f t="shared" ref="R5:R51" si="3">IF(Q5="Y",MAX(IF(WnSAssignmentHarbourCruise=$A5,TaskRankRequirements)),"")</f>
        <v/>
      </c>
      <c r="S5" s="54" t="s">
        <v>326</v>
      </c>
      <c r="T5" s="54" t="s">
        <v>326</v>
      </c>
      <c r="U5" s="54" t="s">
        <v>326</v>
      </c>
      <c r="V5" s="53" t="s">
        <v>326</v>
      </c>
      <c r="W5" s="78" t="s">
        <v>326</v>
      </c>
      <c r="X5" s="56"/>
      <c r="Y5" s="56"/>
      <c r="Z5" s="56"/>
      <c r="AA5" s="56"/>
      <c r="AB5" s="56"/>
      <c r="AC5" s="56"/>
      <c r="AD5" s="57"/>
    </row>
    <row r="6" spans="1:30">
      <c r="A6" t="s">
        <v>328</v>
      </c>
      <c r="B6" s="35" t="s">
        <v>329</v>
      </c>
      <c r="C6" s="63" t="s">
        <v>329</v>
      </c>
      <c r="D6" s="19" t="str">
        <f t="shared" si="0"/>
        <v>-</v>
      </c>
      <c r="E6" s="20" t="str">
        <f t="array" ref="E6">IF(D6="Y",MAX(IF(WnSAssignmentMoveShip=A6,TaskRankRequirements)),"")</f>
        <v/>
      </c>
      <c r="F6" s="21" t="s">
        <v>330</v>
      </c>
      <c r="G6" s="21" t="s">
        <v>331</v>
      </c>
      <c r="H6" s="21"/>
      <c r="I6" s="22"/>
      <c r="J6" s="19" t="str">
        <f t="shared" si="1"/>
        <v>-</v>
      </c>
      <c r="K6" s="20" t="str">
        <f t="array" ref="K6">IF(J6="Y",MAX(IF(WnSAssignmentHarbourCruise=$A6,TaskRankRequirements)),"")</f>
        <v/>
      </c>
      <c r="L6" s="21" t="s">
        <v>330</v>
      </c>
      <c r="M6" s="21" t="s">
        <v>332</v>
      </c>
      <c r="N6" s="21" t="s">
        <v>331</v>
      </c>
      <c r="O6" s="21"/>
      <c r="P6" s="58"/>
      <c r="Q6" s="19" t="str">
        <f t="shared" si="2"/>
        <v>-</v>
      </c>
      <c r="R6" s="21" t="str">
        <f t="shared" si="3"/>
        <v/>
      </c>
      <c r="S6" s="21" t="s">
        <v>332</v>
      </c>
      <c r="T6" s="21" t="s">
        <v>332</v>
      </c>
      <c r="U6" s="21" t="s">
        <v>331</v>
      </c>
      <c r="V6" s="20"/>
      <c r="W6" s="58"/>
      <c r="X6" s="20"/>
      <c r="Y6" s="20"/>
      <c r="Z6" s="20"/>
      <c r="AA6" s="20"/>
      <c r="AB6" s="20"/>
      <c r="AC6" s="20"/>
      <c r="AD6" s="58"/>
    </row>
    <row r="7" spans="1:30">
      <c r="A7" s="10" t="s">
        <v>333</v>
      </c>
      <c r="B7" s="36" t="s">
        <v>334</v>
      </c>
      <c r="C7" s="50" t="s">
        <v>334</v>
      </c>
      <c r="D7" s="4" t="str">
        <f t="shared" si="0"/>
        <v>-</v>
      </c>
      <c r="E7" s="5" t="str">
        <f t="array" ref="E7">IF(D7="Y",MAX(IF(WnSAssignmentMoveShip=A7,TaskRankRequirements)),"")</f>
        <v/>
      </c>
      <c r="F7" s="1"/>
      <c r="G7" s="1"/>
      <c r="H7" s="1"/>
      <c r="I7" s="2"/>
      <c r="J7" s="7" t="str">
        <f t="shared" si="1"/>
        <v>-</v>
      </c>
      <c r="K7" s="6" t="str">
        <f t="array" ref="K7">IF(J7="Y",MAX(IF(WnSAssignmentHarbourCruise=$A7,TaskRankRequirements)),"")</f>
        <v/>
      </c>
      <c r="L7" s="10"/>
      <c r="M7" s="10"/>
      <c r="N7" s="10"/>
      <c r="O7" s="10"/>
      <c r="P7" s="33"/>
      <c r="Q7" s="7" t="str">
        <f t="shared" si="2"/>
        <v>-</v>
      </c>
      <c r="R7" s="10" t="str">
        <f t="shared" si="3"/>
        <v/>
      </c>
      <c r="S7" s="10"/>
      <c r="T7" s="10"/>
      <c r="U7" s="10"/>
      <c r="V7" s="10"/>
      <c r="W7" s="33"/>
      <c r="X7" s="23"/>
      <c r="Y7" s="23"/>
      <c r="Z7" s="23"/>
      <c r="AA7" s="23"/>
      <c r="AB7" s="23"/>
      <c r="AC7" s="23"/>
      <c r="AD7" s="24"/>
    </row>
    <row r="8" spans="1:30">
      <c r="A8" s="10" t="s">
        <v>333</v>
      </c>
      <c r="B8" s="37" t="s">
        <v>335</v>
      </c>
      <c r="C8" s="48" t="s">
        <v>335</v>
      </c>
      <c r="D8" s="4" t="str">
        <f t="shared" si="0"/>
        <v>-</v>
      </c>
      <c r="E8" s="5"/>
      <c r="F8" s="1"/>
      <c r="G8" s="1"/>
      <c r="H8" s="1"/>
      <c r="I8" s="2"/>
      <c r="J8" s="4" t="str">
        <f t="shared" si="1"/>
        <v>-</v>
      </c>
      <c r="K8" s="5" t="str">
        <f t="array" ref="K8">IF(J8="Y",MAX(IF(WnSAssignmentHarbourCruise=$A8,TaskRankRequirements)),"")</f>
        <v/>
      </c>
      <c r="L8" s="1"/>
      <c r="M8" s="1"/>
      <c r="N8" s="1"/>
      <c r="O8" s="1"/>
      <c r="P8" s="2"/>
      <c r="Q8" s="4" t="str">
        <f t="shared" si="2"/>
        <v>-</v>
      </c>
      <c r="R8" s="5" t="str">
        <f t="shared" si="3"/>
        <v/>
      </c>
      <c r="S8" s="1"/>
      <c r="T8" s="1"/>
      <c r="U8" s="1"/>
      <c r="V8" s="1"/>
      <c r="W8" s="2"/>
      <c r="X8" s="1"/>
      <c r="Y8" s="1"/>
      <c r="Z8" s="1"/>
      <c r="AA8" s="1"/>
      <c r="AB8" s="1"/>
      <c r="AC8" s="1"/>
      <c r="AD8" s="2"/>
    </row>
    <row r="9" spans="1:30">
      <c r="A9" s="10" t="s">
        <v>333</v>
      </c>
      <c r="B9" s="38" t="s">
        <v>336</v>
      </c>
      <c r="C9" s="64" t="s">
        <v>336</v>
      </c>
      <c r="D9" s="4" t="str">
        <f t="shared" si="0"/>
        <v>-</v>
      </c>
      <c r="E9" s="5" t="str">
        <f t="array" ref="E9">IF(D9="Y",MAX(IF(WnSAssignmentMoveShip=A9,TaskRankRequirements)),"")</f>
        <v/>
      </c>
      <c r="F9" s="1"/>
      <c r="G9" s="1"/>
      <c r="H9" s="1"/>
      <c r="I9" s="2"/>
      <c r="J9" s="4" t="str">
        <f t="shared" si="1"/>
        <v>-</v>
      </c>
      <c r="K9" s="5" t="str">
        <f t="array" ref="K9">IF(J9="Y",MAX(IF(WnSAssignmentHarbourCruise=$A9,TaskRankRequirements)),"")</f>
        <v/>
      </c>
      <c r="L9" s="10"/>
      <c r="M9" s="1"/>
      <c r="N9" s="1"/>
      <c r="O9" s="1"/>
      <c r="P9" s="2"/>
      <c r="Q9" s="4" t="str">
        <f t="shared" si="2"/>
        <v>-</v>
      </c>
      <c r="R9" s="5" t="str">
        <f t="shared" si="3"/>
        <v/>
      </c>
      <c r="S9" s="10"/>
      <c r="T9" s="1"/>
      <c r="U9" s="1"/>
      <c r="V9" s="1"/>
      <c r="W9" s="2"/>
      <c r="X9" s="1"/>
      <c r="Y9" s="1"/>
      <c r="Z9" s="1"/>
      <c r="AA9" s="1"/>
      <c r="AB9" s="1"/>
      <c r="AC9" s="1"/>
      <c r="AD9" s="2"/>
    </row>
    <row r="10" spans="1:30">
      <c r="A10" s="75" t="s">
        <v>333</v>
      </c>
      <c r="B10" s="76" t="s">
        <v>337</v>
      </c>
      <c r="C10" s="77"/>
      <c r="D10" s="11" t="str">
        <f t="shared" si="0"/>
        <v>-</v>
      </c>
      <c r="E10" s="12" t="str">
        <f t="array" ref="E10">IF(D10="Y",MAX(IF(WnSAssignmentMoveShip=A10,TaskRankRequirements)),"")</f>
        <v/>
      </c>
      <c r="F10" s="13"/>
      <c r="G10" s="13"/>
      <c r="H10" s="13"/>
      <c r="I10" s="14"/>
      <c r="J10" s="11" t="str">
        <f t="shared" si="1"/>
        <v>-</v>
      </c>
      <c r="K10" s="12" t="str">
        <f t="array" ref="K10">IF(J10="Y",MAX(IF(WnSAssignmentHarbourCruise=$A10,TaskRankRequirements)),"")</f>
        <v/>
      </c>
      <c r="L10" s="75"/>
      <c r="M10" s="13"/>
      <c r="N10" s="13"/>
      <c r="O10" s="13"/>
      <c r="P10" s="14"/>
      <c r="Q10" s="11" t="str">
        <f t="shared" si="2"/>
        <v>-</v>
      </c>
      <c r="R10" s="12"/>
      <c r="S10" s="75"/>
      <c r="T10" s="13"/>
      <c r="U10" s="13"/>
      <c r="V10" s="13"/>
      <c r="W10" s="14"/>
      <c r="X10" s="13"/>
      <c r="Y10" s="13"/>
      <c r="Z10" s="13"/>
      <c r="AA10" s="13"/>
      <c r="AB10" s="13"/>
      <c r="AC10" s="13"/>
      <c r="AD10" s="14"/>
    </row>
    <row r="11" spans="1:30">
      <c r="A11" t="s">
        <v>338</v>
      </c>
      <c r="B11" s="34" t="s">
        <v>44</v>
      </c>
      <c r="C11" s="65" t="s">
        <v>44</v>
      </c>
      <c r="D11" s="19" t="str">
        <f t="shared" si="0"/>
        <v>-</v>
      </c>
      <c r="E11" s="20" t="str">
        <f t="array" ref="E11">IF(D11="Y",MAX(IF(WnSAssignmentMoveShip=A11,TaskRankRequirements)),"")</f>
        <v/>
      </c>
      <c r="F11" s="21" t="s">
        <v>339</v>
      </c>
      <c r="G11" s="21" t="s">
        <v>339</v>
      </c>
      <c r="H11" s="21" t="s">
        <v>339</v>
      </c>
      <c r="I11" s="22" t="s">
        <v>339</v>
      </c>
      <c r="J11" s="19" t="str">
        <f t="shared" si="1"/>
        <v>-</v>
      </c>
      <c r="K11" s="20" t="str">
        <f t="array" ref="K11">IF(J11="Y",MAX(IF(WnSAssignmentHarbourCruise=$A11,TaskRankRequirements)),"")</f>
        <v/>
      </c>
      <c r="L11" s="21" t="s">
        <v>339</v>
      </c>
      <c r="M11" s="21" t="s">
        <v>339</v>
      </c>
      <c r="N11" s="21" t="s">
        <v>339</v>
      </c>
      <c r="O11" s="21" t="s">
        <v>339</v>
      </c>
      <c r="P11" s="58" t="s">
        <v>339</v>
      </c>
      <c r="Q11" s="19" t="str">
        <f t="shared" si="2"/>
        <v>-</v>
      </c>
      <c r="R11" s="21" t="str">
        <f t="shared" si="3"/>
        <v/>
      </c>
      <c r="S11" s="21" t="s">
        <v>339</v>
      </c>
      <c r="T11" s="21" t="s">
        <v>339</v>
      </c>
      <c r="U11" s="21" t="s">
        <v>339</v>
      </c>
      <c r="V11" s="20" t="s">
        <v>339</v>
      </c>
      <c r="W11" s="58" t="s">
        <v>339</v>
      </c>
      <c r="X11" s="20"/>
      <c r="Y11" s="20"/>
      <c r="Z11" s="20"/>
      <c r="AA11" s="20"/>
      <c r="AB11" s="20"/>
      <c r="AC11" s="20"/>
      <c r="AD11" s="58"/>
    </row>
    <row r="12" spans="1:30">
      <c r="A12" t="s">
        <v>340</v>
      </c>
      <c r="B12" s="34" t="s">
        <v>341</v>
      </c>
      <c r="C12" s="65" t="s">
        <v>342</v>
      </c>
      <c r="D12" s="19" t="str">
        <f t="shared" si="0"/>
        <v>-</v>
      </c>
      <c r="E12" s="20" t="str">
        <f t="array" ref="E12">IF(D12="Y",MAX(IF(WnSAssignmentMoveShip=A12,TaskRankRequirements)),"")</f>
        <v/>
      </c>
      <c r="F12" s="21" t="s">
        <v>343</v>
      </c>
      <c r="G12" s="21" t="s">
        <v>344</v>
      </c>
      <c r="H12" s="21"/>
      <c r="I12" s="22"/>
      <c r="J12" s="19" t="str">
        <f t="shared" si="1"/>
        <v>-</v>
      </c>
      <c r="K12" s="20" t="str">
        <f t="array" ref="K12">IF(J12="Y",MAX(IF(WnSAssignmentHarbourCruise=$A12,TaskRankRequirements)),"")</f>
        <v/>
      </c>
      <c r="L12" s="21" t="s">
        <v>343</v>
      </c>
      <c r="M12" s="21"/>
      <c r="N12" s="21"/>
      <c r="O12" s="21"/>
      <c r="P12" s="58"/>
      <c r="Q12" s="19" t="str">
        <f t="shared" si="2"/>
        <v>-</v>
      </c>
      <c r="R12" s="21" t="str">
        <f t="shared" si="3"/>
        <v/>
      </c>
      <c r="S12" s="21" t="s">
        <v>345</v>
      </c>
      <c r="T12" s="21" t="s">
        <v>346</v>
      </c>
      <c r="U12" s="21" t="s">
        <v>347</v>
      </c>
      <c r="V12" s="20" t="s">
        <v>348</v>
      </c>
      <c r="W12" s="58"/>
      <c r="X12" s="20"/>
      <c r="Y12" s="20"/>
      <c r="Z12" s="20"/>
      <c r="AA12" s="20"/>
      <c r="AB12" s="20"/>
      <c r="AC12" s="20"/>
      <c r="AD12" s="58"/>
    </row>
    <row r="13" spans="1:30">
      <c r="A13" t="s">
        <v>349</v>
      </c>
      <c r="B13" s="39" t="s">
        <v>341</v>
      </c>
      <c r="C13" s="66" t="s">
        <v>350</v>
      </c>
      <c r="D13" s="4" t="str">
        <f t="shared" si="0"/>
        <v>-</v>
      </c>
      <c r="E13" s="5" t="str">
        <f t="array" ref="E13">IF(D13="Y",MAX(IF(WnSAssignmentMoveShip=A13,TaskRankRequirements)),"")</f>
        <v/>
      </c>
      <c r="F13" s="1"/>
      <c r="G13" s="1"/>
      <c r="H13" s="1"/>
      <c r="I13" s="2"/>
      <c r="J13" s="4" t="str">
        <f t="shared" si="1"/>
        <v>-</v>
      </c>
      <c r="K13" s="5" t="str">
        <f t="array" ref="K13">IF(J13="Y",MAX(IF(WnSAssignmentHarbourCruise=$A13,TaskRankRequirements)),"")</f>
        <v/>
      </c>
      <c r="L13" s="1"/>
      <c r="M13" s="1"/>
      <c r="N13" s="1"/>
      <c r="O13" s="1"/>
      <c r="P13" s="2"/>
      <c r="Q13" s="25" t="str">
        <f t="shared" si="2"/>
        <v>-</v>
      </c>
      <c r="R13" s="26" t="str">
        <f t="shared" si="3"/>
        <v/>
      </c>
      <c r="S13" s="27" t="s">
        <v>343</v>
      </c>
      <c r="T13" s="27" t="s">
        <v>351</v>
      </c>
      <c r="U13" s="27" t="s">
        <v>351</v>
      </c>
      <c r="V13" s="27" t="s">
        <v>351</v>
      </c>
      <c r="W13" s="28"/>
      <c r="X13" s="27"/>
      <c r="Y13" s="27"/>
      <c r="Z13" s="27"/>
      <c r="AA13" s="27"/>
      <c r="AB13" s="27"/>
      <c r="AC13" s="27"/>
      <c r="AD13" s="28"/>
    </row>
    <row r="14" spans="1:30">
      <c r="A14" t="s">
        <v>333</v>
      </c>
      <c r="B14" s="40" t="s">
        <v>341</v>
      </c>
      <c r="C14" s="46" t="s">
        <v>352</v>
      </c>
      <c r="D14" s="4" t="str">
        <f t="shared" si="0"/>
        <v>-</v>
      </c>
      <c r="E14" s="5" t="str">
        <f t="array" ref="E14">IF(D14="Y",MAX(IF(WnSAssignmentMoveShip=A14,TaskRankRequirements)),"")</f>
        <v/>
      </c>
      <c r="F14" s="1"/>
      <c r="G14" s="1"/>
      <c r="H14" s="1"/>
      <c r="I14" s="2"/>
      <c r="J14" s="7" t="str">
        <f t="shared" si="1"/>
        <v>-</v>
      </c>
      <c r="K14" s="6" t="str">
        <f t="array" ref="K14">IF(J14="Y",MAX(IF(WnSAssignmentHarbourCruise=$A14,TaskRankRequirements)),"")</f>
        <v/>
      </c>
      <c r="L14" s="10"/>
      <c r="M14" s="10"/>
      <c r="N14" s="10"/>
      <c r="O14" s="10"/>
      <c r="P14" s="33"/>
      <c r="Q14" s="7" t="str">
        <f t="shared" si="2"/>
        <v>-</v>
      </c>
      <c r="R14" s="10" t="str">
        <f t="shared" si="3"/>
        <v/>
      </c>
      <c r="S14" s="10"/>
      <c r="T14" s="10"/>
      <c r="U14" s="10"/>
      <c r="V14" s="10"/>
      <c r="W14" s="33"/>
      <c r="X14" s="23"/>
      <c r="Y14" s="23"/>
      <c r="Z14" s="23"/>
      <c r="AA14" s="23"/>
      <c r="AB14" s="23"/>
      <c r="AC14" s="23"/>
      <c r="AD14" s="24"/>
    </row>
    <row r="15" spans="1:30">
      <c r="A15" t="s">
        <v>353</v>
      </c>
      <c r="B15" s="34" t="s">
        <v>354</v>
      </c>
      <c r="C15" s="65" t="s">
        <v>355</v>
      </c>
      <c r="D15" s="19" t="str">
        <f t="shared" si="0"/>
        <v>-</v>
      </c>
      <c r="E15" s="20" t="str">
        <f t="array" ref="E15">IF(D15="Y",MAX(IF(WnSAssignmentMoveShip=A15,TaskRankRequirements)),"")</f>
        <v/>
      </c>
      <c r="F15" s="21" t="s">
        <v>356</v>
      </c>
      <c r="G15" s="21" t="s">
        <v>356</v>
      </c>
      <c r="H15" s="21" t="s">
        <v>356</v>
      </c>
      <c r="I15" s="22" t="s">
        <v>356</v>
      </c>
      <c r="J15" s="19" t="str">
        <f t="shared" si="1"/>
        <v>-</v>
      </c>
      <c r="K15" s="20" t="str">
        <f t="array" ref="K15">IF(J15="Y",MAX(IF(WnSAssignmentHarbourCruise=$A15,TaskRankRequirements)),"")</f>
        <v/>
      </c>
      <c r="L15" s="21" t="s">
        <v>357</v>
      </c>
      <c r="M15" s="21"/>
      <c r="N15" s="21" t="s">
        <v>344</v>
      </c>
      <c r="O15" s="21"/>
      <c r="P15" s="58"/>
      <c r="Q15" s="19" t="str">
        <f t="shared" si="2"/>
        <v>-</v>
      </c>
      <c r="R15" s="21" t="str">
        <f t="shared" si="3"/>
        <v/>
      </c>
      <c r="S15" s="21" t="s">
        <v>357</v>
      </c>
      <c r="T15" s="21"/>
      <c r="U15" s="21" t="s">
        <v>344</v>
      </c>
      <c r="V15" s="20" t="s">
        <v>346</v>
      </c>
      <c r="W15" s="58"/>
      <c r="X15" s="20"/>
      <c r="Y15" s="20"/>
      <c r="Z15" s="20"/>
      <c r="AA15" s="20"/>
      <c r="AB15" s="20"/>
      <c r="AC15" s="20"/>
      <c r="AD15" s="58"/>
    </row>
    <row r="16" spans="1:30">
      <c r="A16" t="s">
        <v>358</v>
      </c>
      <c r="B16" s="39" t="s">
        <v>359</v>
      </c>
      <c r="C16" s="66" t="s">
        <v>360</v>
      </c>
      <c r="D16" s="4" t="str">
        <f t="shared" si="0"/>
        <v>-</v>
      </c>
      <c r="E16" s="5" t="str">
        <f t="array" ref="E16">IF(D16="Y",MAX(IF(WnSAssignmentMoveShip=A16,TaskRankRequirements)),"")</f>
        <v/>
      </c>
      <c r="F16" s="1"/>
      <c r="G16" s="1"/>
      <c r="H16" s="1"/>
      <c r="I16" s="2"/>
      <c r="J16" s="4" t="str">
        <f t="shared" si="1"/>
        <v>-</v>
      </c>
      <c r="K16" s="5" t="str">
        <f t="array" ref="K16">IF(J16="Y",MAX(IF(WnSAssignmentHarbourCruise=$A16,TaskRankRequirements)),"")</f>
        <v/>
      </c>
      <c r="L16" s="1"/>
      <c r="M16" s="1"/>
      <c r="N16" s="1"/>
      <c r="O16" s="1"/>
      <c r="P16" s="2"/>
      <c r="Q16" s="25" t="str">
        <f t="shared" si="2"/>
        <v>-</v>
      </c>
      <c r="R16" s="27" t="str">
        <f t="shared" si="3"/>
        <v/>
      </c>
      <c r="S16" s="27"/>
      <c r="T16" s="27" t="s">
        <v>361</v>
      </c>
      <c r="U16" s="27"/>
      <c r="V16" s="27" t="s">
        <v>362</v>
      </c>
      <c r="W16" s="28"/>
      <c r="X16" s="27"/>
      <c r="Y16" s="27"/>
      <c r="Z16" s="27"/>
      <c r="AA16" s="27"/>
      <c r="AB16" s="27"/>
      <c r="AC16" s="27"/>
      <c r="AD16" s="28"/>
    </row>
    <row r="17" spans="1:30">
      <c r="A17" t="s">
        <v>333</v>
      </c>
      <c r="B17" s="40" t="s">
        <v>359</v>
      </c>
      <c r="C17" s="46"/>
      <c r="D17" s="4" t="str">
        <f t="shared" si="0"/>
        <v>-</v>
      </c>
      <c r="E17" s="5" t="str">
        <f t="array" ref="E17">IF(D17="Y",MAX(IF(WnSAssignmentMoveShip=A17,TaskRankRequirements)),"")</f>
        <v/>
      </c>
      <c r="F17" s="1"/>
      <c r="G17" s="1"/>
      <c r="H17" s="1"/>
      <c r="I17" s="2"/>
      <c r="J17" s="7" t="str">
        <f t="shared" si="1"/>
        <v>-</v>
      </c>
      <c r="K17" s="6" t="str">
        <f t="array" ref="K17">IF(J17="Y",MAX(IF(WnSAssignmentHarbourCruise=$A17,TaskRankRequirements)),"")</f>
        <v/>
      </c>
      <c r="L17" s="10"/>
      <c r="M17" s="10"/>
      <c r="N17" s="10"/>
      <c r="O17" s="10"/>
      <c r="P17" s="33"/>
      <c r="Q17" s="7" t="str">
        <f t="shared" si="2"/>
        <v>-</v>
      </c>
      <c r="R17" s="10" t="str">
        <f t="shared" si="3"/>
        <v/>
      </c>
      <c r="S17" s="10"/>
      <c r="T17" s="10"/>
      <c r="U17" s="10"/>
      <c r="V17" s="10"/>
      <c r="W17" s="33"/>
      <c r="X17" s="23"/>
      <c r="Y17" s="23"/>
      <c r="Z17" s="23"/>
      <c r="AA17" s="23"/>
      <c r="AB17" s="23"/>
      <c r="AC17" s="23"/>
      <c r="AD17" s="24"/>
    </row>
    <row r="18" spans="1:30">
      <c r="A18" t="s">
        <v>333</v>
      </c>
      <c r="B18" s="40" t="s">
        <v>359</v>
      </c>
      <c r="C18" s="46"/>
      <c r="D18" s="4" t="str">
        <f t="shared" si="0"/>
        <v>-</v>
      </c>
      <c r="E18" s="5" t="str">
        <f t="array" ref="E18">IF(D18="Y",MAX(IF(WnSAssignmentMoveShip=A18,TaskRankRequirements)),"")</f>
        <v/>
      </c>
      <c r="F18" s="1"/>
      <c r="G18" s="1"/>
      <c r="H18" s="1"/>
      <c r="I18" s="2"/>
      <c r="J18" s="7" t="str">
        <f t="shared" si="1"/>
        <v>-</v>
      </c>
      <c r="K18" s="6" t="str">
        <f t="array" ref="K18">IF(J18="Y",MAX(IF(WnSAssignmentHarbourCruise=$A18,TaskRankRequirements)),"")</f>
        <v/>
      </c>
      <c r="L18" s="10"/>
      <c r="M18" s="10"/>
      <c r="N18" s="10"/>
      <c r="O18" s="10"/>
      <c r="P18" s="33"/>
      <c r="Q18" s="7" t="str">
        <f t="shared" si="2"/>
        <v>-</v>
      </c>
      <c r="R18" s="10" t="str">
        <f t="shared" si="3"/>
        <v/>
      </c>
      <c r="S18" s="10"/>
      <c r="T18" s="10"/>
      <c r="U18" s="10"/>
      <c r="V18" s="10"/>
      <c r="W18" s="33"/>
      <c r="X18" s="23"/>
      <c r="Y18" s="23"/>
      <c r="Z18" s="23"/>
      <c r="AA18" s="23"/>
      <c r="AB18" s="23"/>
      <c r="AC18" s="23"/>
      <c r="AD18" s="24"/>
    </row>
    <row r="19" spans="1:30">
      <c r="A19" t="s">
        <v>363</v>
      </c>
      <c r="B19" s="39" t="s">
        <v>364</v>
      </c>
      <c r="C19" s="66" t="s">
        <v>365</v>
      </c>
      <c r="D19" s="4" t="str">
        <f t="shared" si="0"/>
        <v>-</v>
      </c>
      <c r="E19" s="5" t="str">
        <f t="array" ref="E19">IF(D19="Y",MAX(IF(WnSAssignmentMoveShip=A19,TaskRankRequirements)),"")</f>
        <v/>
      </c>
      <c r="F19" s="1"/>
      <c r="G19" s="1"/>
      <c r="H19" s="1"/>
      <c r="I19" s="2"/>
      <c r="J19" s="4" t="str">
        <f t="shared" si="1"/>
        <v>-</v>
      </c>
      <c r="K19" s="5" t="str">
        <f t="array" ref="K19">IF(J19="Y",MAX(IF(WnSAssignmentHarbourCruise=$A19,TaskRankRequirements)),"")</f>
        <v/>
      </c>
      <c r="L19" s="1"/>
      <c r="M19" s="1"/>
      <c r="N19" s="1"/>
      <c r="O19" s="1"/>
      <c r="P19" s="2"/>
      <c r="Q19" s="25" t="str">
        <f t="shared" si="2"/>
        <v>-</v>
      </c>
      <c r="R19" s="27" t="str">
        <f t="shared" si="3"/>
        <v/>
      </c>
      <c r="S19" s="27"/>
      <c r="T19" s="27" t="s">
        <v>366</v>
      </c>
      <c r="U19" s="27" t="s">
        <v>366</v>
      </c>
      <c r="V19" s="27" t="s">
        <v>366</v>
      </c>
      <c r="W19" s="28"/>
      <c r="X19" s="27"/>
      <c r="Y19" s="27"/>
      <c r="Z19" s="27"/>
      <c r="AA19" s="27"/>
      <c r="AB19" s="27"/>
      <c r="AC19" s="27"/>
      <c r="AD19" s="28"/>
    </row>
    <row r="20" spans="1:30">
      <c r="A20" t="s">
        <v>367</v>
      </c>
      <c r="B20" s="39" t="s">
        <v>364</v>
      </c>
      <c r="C20" s="66"/>
      <c r="D20" s="4" t="str">
        <f t="shared" si="0"/>
        <v>-</v>
      </c>
      <c r="E20" s="5" t="str">
        <f t="array" ref="E20">IF(D20="Y",MAX(IF(WnSAssignmentMoveShip=A20,TaskRankRequirements)),"")</f>
        <v/>
      </c>
      <c r="F20" s="1"/>
      <c r="G20" s="1"/>
      <c r="H20" s="1"/>
      <c r="I20" s="2"/>
      <c r="J20" s="4" t="str">
        <f t="shared" si="1"/>
        <v>-</v>
      </c>
      <c r="K20" s="5" t="str">
        <f t="array" ref="K20">IF(J20="Y",MAX(IF(WnSAssignmentHarbourCruise=$A20,TaskRankRequirements)),"")</f>
        <v/>
      </c>
      <c r="L20" s="1"/>
      <c r="M20" s="1"/>
      <c r="N20" s="1"/>
      <c r="O20" s="1"/>
      <c r="P20" s="2"/>
      <c r="Q20" s="25" t="str">
        <f t="shared" si="2"/>
        <v>-</v>
      </c>
      <c r="R20" s="27" t="str">
        <f t="shared" si="3"/>
        <v/>
      </c>
      <c r="S20" s="27"/>
      <c r="T20" s="27" t="s">
        <v>361</v>
      </c>
      <c r="U20" s="27" t="s">
        <v>361</v>
      </c>
      <c r="V20" s="27" t="s">
        <v>368</v>
      </c>
      <c r="W20" s="28"/>
      <c r="X20" s="27"/>
      <c r="Y20" s="27"/>
      <c r="Z20" s="27"/>
      <c r="AA20" s="27"/>
      <c r="AB20" s="27"/>
      <c r="AC20" s="27"/>
      <c r="AD20" s="28"/>
    </row>
    <row r="21" spans="1:30">
      <c r="A21" t="s">
        <v>369</v>
      </c>
      <c r="B21" s="39" t="s">
        <v>364</v>
      </c>
      <c r="C21" s="66"/>
      <c r="D21" s="4" t="str">
        <f t="shared" si="0"/>
        <v>-</v>
      </c>
      <c r="E21" s="5" t="str">
        <f t="array" ref="E21">IF(D21="Y",MAX(IF(WnSAssignmentMoveShip=A21,TaskRankRequirements)),"")</f>
        <v/>
      </c>
      <c r="F21" s="1"/>
      <c r="G21" s="1"/>
      <c r="H21" s="1"/>
      <c r="I21" s="2"/>
      <c r="J21" s="4" t="str">
        <f t="shared" si="1"/>
        <v>-</v>
      </c>
      <c r="K21" s="5" t="str">
        <f t="array" ref="K21">IF(J21="Y",MAX(IF(WnSAssignmentHarbourCruise=$A21,TaskRankRequirements)),"")</f>
        <v/>
      </c>
      <c r="L21" s="1"/>
      <c r="M21" s="1"/>
      <c r="N21" s="1"/>
      <c r="O21" s="1"/>
      <c r="P21" s="2"/>
      <c r="Q21" s="25" t="str">
        <f t="shared" si="2"/>
        <v>-</v>
      </c>
      <c r="R21" s="27" t="str">
        <f t="shared" si="3"/>
        <v/>
      </c>
      <c r="S21" s="27"/>
      <c r="T21" s="27" t="s">
        <v>366</v>
      </c>
      <c r="U21" s="27" t="s">
        <v>366</v>
      </c>
      <c r="V21" s="27" t="s">
        <v>366</v>
      </c>
      <c r="W21" s="28"/>
      <c r="X21" s="27"/>
      <c r="Y21" s="27"/>
      <c r="Z21" s="27"/>
      <c r="AA21" s="27"/>
      <c r="AB21" s="27"/>
      <c r="AC21" s="27"/>
      <c r="AD21" s="28"/>
    </row>
    <row r="22" spans="1:30">
      <c r="A22" t="s">
        <v>333</v>
      </c>
      <c r="B22" s="40" t="s">
        <v>364</v>
      </c>
      <c r="C22" s="46"/>
      <c r="D22" s="4" t="str">
        <f t="shared" si="0"/>
        <v>-</v>
      </c>
      <c r="E22" s="5" t="str">
        <f t="array" ref="E22">IF(D22="Y",MAX(IF(WnSAssignmentMoveShip=A22,TaskRankRequirements)),"")</f>
        <v/>
      </c>
      <c r="F22" s="1"/>
      <c r="G22" s="1"/>
      <c r="H22" s="1"/>
      <c r="I22" s="2"/>
      <c r="J22" s="7" t="str">
        <f t="shared" si="1"/>
        <v>-</v>
      </c>
      <c r="K22" s="6" t="str">
        <f t="array" ref="K22">IF(J22="Y",MAX(IF(WnSAssignmentHarbourCruise=$A22,TaskRankRequirements)),"")</f>
        <v/>
      </c>
      <c r="L22" s="10"/>
      <c r="M22" s="10"/>
      <c r="N22" s="10"/>
      <c r="O22" s="10"/>
      <c r="P22" s="33"/>
      <c r="Q22" s="7" t="str">
        <f t="shared" si="2"/>
        <v>-</v>
      </c>
      <c r="R22" s="10" t="str">
        <f t="shared" si="3"/>
        <v/>
      </c>
      <c r="S22" s="10"/>
      <c r="T22" s="10"/>
      <c r="U22" s="10"/>
      <c r="V22" s="10"/>
      <c r="W22" s="33"/>
      <c r="X22" s="23"/>
      <c r="Y22" s="23"/>
      <c r="Z22" s="23"/>
      <c r="AA22" s="23"/>
      <c r="AB22" s="23"/>
      <c r="AC22" s="23"/>
      <c r="AD22" s="24"/>
    </row>
    <row r="23" spans="1:30">
      <c r="A23" t="s">
        <v>333</v>
      </c>
      <c r="B23" s="40" t="s">
        <v>364</v>
      </c>
      <c r="C23" s="46"/>
      <c r="D23" s="4" t="str">
        <f t="shared" si="0"/>
        <v>-</v>
      </c>
      <c r="E23" s="5" t="str">
        <f t="array" ref="E23">IF(D23="Y",MAX(IF(WnSAssignmentMoveShip=A23,TaskRankRequirements)),"")</f>
        <v/>
      </c>
      <c r="F23" s="1"/>
      <c r="G23" s="1"/>
      <c r="H23" s="1"/>
      <c r="I23" s="2"/>
      <c r="J23" s="7" t="str">
        <f t="shared" si="1"/>
        <v>-</v>
      </c>
      <c r="K23" s="6" t="str">
        <f t="array" ref="K23">IF(J23="Y",MAX(IF(WnSAssignmentHarbourCruise=$A23,TaskRankRequirements)),"")</f>
        <v/>
      </c>
      <c r="L23" s="10"/>
      <c r="M23" s="10"/>
      <c r="N23" s="10"/>
      <c r="O23" s="10"/>
      <c r="P23" s="33"/>
      <c r="Q23" s="7" t="str">
        <f t="shared" si="2"/>
        <v>-</v>
      </c>
      <c r="R23" s="10" t="str">
        <f t="shared" si="3"/>
        <v/>
      </c>
      <c r="S23" s="10"/>
      <c r="T23" s="10"/>
      <c r="U23" s="10"/>
      <c r="V23" s="10"/>
      <c r="W23" s="33"/>
      <c r="X23" s="23"/>
      <c r="Y23" s="23"/>
      <c r="Z23" s="23"/>
      <c r="AA23" s="23"/>
      <c r="AB23" s="23"/>
      <c r="AC23" s="23"/>
      <c r="AD23" s="24"/>
    </row>
    <row r="24" spans="1:30">
      <c r="A24" t="s">
        <v>333</v>
      </c>
      <c r="B24" s="41" t="s">
        <v>364</v>
      </c>
      <c r="C24" s="47"/>
      <c r="D24" s="4" t="str">
        <f t="shared" si="0"/>
        <v>-</v>
      </c>
      <c r="E24" s="5" t="str">
        <f t="array" ref="E24">IF(D24="Y",MAX(IF(WnSAssignmentMoveShip=A24,TaskRankRequirements)),"")</f>
        <v/>
      </c>
      <c r="F24" s="1"/>
      <c r="G24" s="1"/>
      <c r="H24" s="1"/>
      <c r="I24" s="2"/>
      <c r="J24" s="4" t="str">
        <f t="shared" si="1"/>
        <v>-</v>
      </c>
      <c r="K24" s="5" t="str">
        <f t="array" ref="K24">IF(J24="Y",MAX(IF(WnSAssignmentHarbourCruise=$A24,TaskRankRequirements)),"")</f>
        <v/>
      </c>
      <c r="L24" s="1"/>
      <c r="M24" s="1"/>
      <c r="N24" s="1"/>
      <c r="O24" s="1"/>
      <c r="P24" s="2"/>
      <c r="Q24" s="4" t="str">
        <f t="shared" si="2"/>
        <v>-</v>
      </c>
      <c r="R24" s="1" t="str">
        <f t="shared" si="3"/>
        <v/>
      </c>
      <c r="S24" s="1"/>
      <c r="T24" s="1"/>
      <c r="U24" s="1"/>
      <c r="V24" s="1"/>
      <c r="W24" s="2"/>
      <c r="X24" s="1"/>
      <c r="Y24" s="1"/>
      <c r="Z24" s="1"/>
      <c r="AA24" s="1"/>
      <c r="AB24" s="1"/>
      <c r="AC24" s="1"/>
      <c r="AD24" s="2"/>
    </row>
    <row r="25" spans="1:30">
      <c r="A25" t="s">
        <v>333</v>
      </c>
      <c r="B25" s="41" t="s">
        <v>364</v>
      </c>
      <c r="C25" s="47"/>
      <c r="D25" s="4" t="str">
        <f t="shared" si="0"/>
        <v>-</v>
      </c>
      <c r="E25" s="5" t="str">
        <f t="array" ref="E25">IF(D25="Y",MAX(IF(WnSAssignmentMoveShip=A25,TaskRankRequirements)),"")</f>
        <v/>
      </c>
      <c r="F25" s="1"/>
      <c r="G25" s="1"/>
      <c r="H25" s="1"/>
      <c r="I25" s="2"/>
      <c r="J25" s="4" t="str">
        <f t="shared" si="1"/>
        <v>-</v>
      </c>
      <c r="K25" s="5" t="str">
        <f t="array" ref="K25">IF(J25="Y",MAX(IF(WnSAssignmentHarbourCruise=$A25,TaskRankRequirements)),"")</f>
        <v/>
      </c>
      <c r="L25" s="1"/>
      <c r="M25" s="1"/>
      <c r="N25" s="1"/>
      <c r="O25" s="1"/>
      <c r="P25" s="2"/>
      <c r="Q25" s="4" t="str">
        <f t="shared" si="2"/>
        <v>-</v>
      </c>
      <c r="R25" s="1" t="str">
        <f t="shared" si="3"/>
        <v/>
      </c>
      <c r="S25" s="1"/>
      <c r="T25" s="1"/>
      <c r="U25" s="1"/>
      <c r="V25" s="1"/>
      <c r="W25" s="2"/>
      <c r="X25" s="1"/>
      <c r="Y25" s="1"/>
      <c r="Z25" s="1"/>
      <c r="AA25" s="1"/>
      <c r="AB25" s="1"/>
      <c r="AC25" s="1"/>
      <c r="AD25" s="2"/>
    </row>
    <row r="26" spans="1:30">
      <c r="A26" t="s">
        <v>370</v>
      </c>
      <c r="B26" s="34" t="s">
        <v>371</v>
      </c>
      <c r="C26" s="65"/>
      <c r="D26" s="19" t="str">
        <f t="shared" si="0"/>
        <v>-</v>
      </c>
      <c r="E26" s="20" t="str">
        <f t="array" ref="E26">IF(D26="Y",MAX(IF(WnSAssignmentMoveShip=A26,TaskRankRequirements)),"")</f>
        <v/>
      </c>
      <c r="F26" s="21" t="s">
        <v>372</v>
      </c>
      <c r="G26" s="21" t="s">
        <v>373</v>
      </c>
      <c r="H26" s="21"/>
      <c r="I26" s="22"/>
      <c r="J26" s="19" t="str">
        <f t="shared" si="1"/>
        <v>-</v>
      </c>
      <c r="K26" s="20" t="str">
        <f t="array" ref="K26">IF(J26="Y",MAX(IF(WnSAssignmentHarbourCruise=$A26,TaskRankRequirements)),"")</f>
        <v/>
      </c>
      <c r="L26" s="21" t="s">
        <v>372</v>
      </c>
      <c r="M26" s="21"/>
      <c r="N26" s="21" t="s">
        <v>373</v>
      </c>
      <c r="O26" s="21"/>
      <c r="P26" s="58"/>
      <c r="Q26" s="19" t="str">
        <f t="shared" si="2"/>
        <v>-</v>
      </c>
      <c r="R26" s="20" t="str">
        <f t="shared" si="3"/>
        <v/>
      </c>
      <c r="S26" s="21" t="s">
        <v>372</v>
      </c>
      <c r="T26" s="21" t="s">
        <v>361</v>
      </c>
      <c r="U26" s="21" t="s">
        <v>373</v>
      </c>
      <c r="V26" s="21" t="s">
        <v>374</v>
      </c>
      <c r="W26" s="58"/>
      <c r="X26" s="21" t="s">
        <v>372</v>
      </c>
      <c r="Y26" s="21"/>
      <c r="Z26" s="21" t="s">
        <v>373</v>
      </c>
      <c r="AA26" s="21"/>
      <c r="AB26" s="20"/>
      <c r="AC26" s="20"/>
      <c r="AD26" s="58"/>
    </row>
    <row r="27" spans="1:30">
      <c r="A27" t="s">
        <v>375</v>
      </c>
      <c r="B27" s="34" t="s">
        <v>371</v>
      </c>
      <c r="C27" s="65"/>
      <c r="D27" s="19" t="str">
        <f t="shared" si="0"/>
        <v>-</v>
      </c>
      <c r="E27" s="20" t="str">
        <f t="array" ref="E27">IF(D27="Y",MAX(IF(WnSAssignmentMoveShip=A27,TaskRankRequirements)),"")</f>
        <v/>
      </c>
      <c r="F27" s="21" t="s">
        <v>372</v>
      </c>
      <c r="G27" s="21" t="s">
        <v>376</v>
      </c>
      <c r="H27" s="21"/>
      <c r="I27" s="22"/>
      <c r="J27" s="19" t="str">
        <f t="shared" si="1"/>
        <v>-</v>
      </c>
      <c r="K27" s="20" t="str">
        <f t="array" ref="K27">IF(J27="Y",MAX(IF(WnSAssignmentHarbourCruise=$A27,TaskRankRequirements)),"")</f>
        <v/>
      </c>
      <c r="L27" s="21" t="s">
        <v>372</v>
      </c>
      <c r="M27" s="21"/>
      <c r="N27" s="21" t="s">
        <v>376</v>
      </c>
      <c r="O27" s="21"/>
      <c r="P27" s="58"/>
      <c r="Q27" s="19" t="str">
        <f t="shared" si="2"/>
        <v>-</v>
      </c>
      <c r="R27" s="20" t="str">
        <f t="shared" si="3"/>
        <v/>
      </c>
      <c r="S27" s="21" t="s">
        <v>372</v>
      </c>
      <c r="T27" s="21" t="s">
        <v>366</v>
      </c>
      <c r="U27" s="21" t="s">
        <v>376</v>
      </c>
      <c r="V27" s="21" t="s">
        <v>374</v>
      </c>
      <c r="W27" s="58"/>
      <c r="X27" s="21" t="s">
        <v>372</v>
      </c>
      <c r="Y27" s="21"/>
      <c r="Z27" s="21" t="s">
        <v>376</v>
      </c>
      <c r="AA27" s="21"/>
      <c r="AB27" s="20"/>
      <c r="AC27" s="20"/>
      <c r="AD27" s="58"/>
    </row>
    <row r="28" spans="1:30">
      <c r="A28" t="s">
        <v>377</v>
      </c>
      <c r="B28" s="34" t="s">
        <v>371</v>
      </c>
      <c r="C28" s="65"/>
      <c r="D28" s="19" t="str">
        <f t="shared" si="0"/>
        <v>-</v>
      </c>
      <c r="E28" s="20" t="str">
        <f t="array" ref="E28">IF(D28="Y",MAX(IF(WnSAssignmentMoveShip=A28,TaskRankRequirements)),"")</f>
        <v/>
      </c>
      <c r="F28" s="21" t="s">
        <v>378</v>
      </c>
      <c r="G28" s="21" t="s">
        <v>379</v>
      </c>
      <c r="H28" s="21"/>
      <c r="I28" s="22"/>
      <c r="J28" s="19" t="str">
        <f t="shared" si="1"/>
        <v>-</v>
      </c>
      <c r="K28" s="20" t="str">
        <f t="array" ref="K28">IF(J28="Y",MAX(IF(WnSAssignmentHarbourCruise=$A28,TaskRankRequirements)),"")</f>
        <v/>
      </c>
      <c r="L28" s="21" t="s">
        <v>378</v>
      </c>
      <c r="M28" s="21"/>
      <c r="N28" s="21" t="s">
        <v>379</v>
      </c>
      <c r="O28" s="21"/>
      <c r="P28" s="58"/>
      <c r="Q28" s="19" t="str">
        <f t="shared" si="2"/>
        <v>-</v>
      </c>
      <c r="R28" s="20" t="str">
        <f t="shared" si="3"/>
        <v/>
      </c>
      <c r="S28" s="21" t="s">
        <v>378</v>
      </c>
      <c r="T28" s="21" t="s">
        <v>361</v>
      </c>
      <c r="U28" s="21" t="s">
        <v>379</v>
      </c>
      <c r="V28" s="21" t="s">
        <v>374</v>
      </c>
      <c r="W28" s="58"/>
      <c r="X28" s="21" t="s">
        <v>378</v>
      </c>
      <c r="Y28" s="21"/>
      <c r="Z28" s="21" t="s">
        <v>379</v>
      </c>
      <c r="AA28" s="21"/>
      <c r="AB28" s="20"/>
      <c r="AC28" s="20"/>
      <c r="AD28" s="58"/>
    </row>
    <row r="29" spans="1:30">
      <c r="A29" t="s">
        <v>380</v>
      </c>
      <c r="B29" s="34" t="s">
        <v>371</v>
      </c>
      <c r="C29" s="65"/>
      <c r="D29" s="19" t="str">
        <f t="shared" si="0"/>
        <v>-</v>
      </c>
      <c r="E29" s="20" t="str">
        <f t="array" ref="E29">IF(D29="Y",MAX(IF(WnSAssignmentMoveShip=A29,TaskRankRequirements)),"")</f>
        <v/>
      </c>
      <c r="F29" s="21" t="s">
        <v>378</v>
      </c>
      <c r="G29" s="21" t="s">
        <v>381</v>
      </c>
      <c r="H29" s="21"/>
      <c r="I29" s="22"/>
      <c r="J29" s="19" t="str">
        <f t="shared" si="1"/>
        <v>-</v>
      </c>
      <c r="K29" s="20" t="str">
        <f t="array" ref="K29">IF(J29="Y",MAX(IF(WnSAssignmentHarbourCruise=$A29,TaskRankRequirements)),"")</f>
        <v/>
      </c>
      <c r="L29" s="21" t="s">
        <v>378</v>
      </c>
      <c r="M29" s="21"/>
      <c r="N29" s="21" t="s">
        <v>381</v>
      </c>
      <c r="O29" s="21"/>
      <c r="P29" s="58"/>
      <c r="Q29" s="19" t="str">
        <f t="shared" si="2"/>
        <v>-</v>
      </c>
      <c r="R29" s="20" t="str">
        <f t="shared" si="3"/>
        <v/>
      </c>
      <c r="S29" s="21" t="s">
        <v>378</v>
      </c>
      <c r="T29" s="21" t="s">
        <v>366</v>
      </c>
      <c r="U29" s="21" t="s">
        <v>381</v>
      </c>
      <c r="V29" s="21" t="s">
        <v>374</v>
      </c>
      <c r="W29" s="58"/>
      <c r="X29" s="21" t="s">
        <v>378</v>
      </c>
      <c r="Y29" s="21"/>
      <c r="Z29" s="21" t="s">
        <v>381</v>
      </c>
      <c r="AA29" s="21"/>
      <c r="AB29" s="20"/>
      <c r="AC29" s="20"/>
      <c r="AD29" s="58"/>
    </row>
    <row r="30" spans="1:30">
      <c r="A30" t="s">
        <v>382</v>
      </c>
      <c r="B30" s="42" t="s">
        <v>383</v>
      </c>
      <c r="C30" s="67" t="s">
        <v>384</v>
      </c>
      <c r="D30" s="4" t="str">
        <f t="shared" si="0"/>
        <v>-</v>
      </c>
      <c r="E30" s="5" t="str">
        <f t="array" ref="E30">IF(D30="Y",MAX(IF(WnSAssignmentMoveShip=A30,TaskRankRequirements)),"")</f>
        <v/>
      </c>
      <c r="F30" s="1"/>
      <c r="G30" s="1"/>
      <c r="H30" s="1"/>
      <c r="I30" s="2"/>
      <c r="J30" s="29" t="str">
        <f t="shared" si="1"/>
        <v>-</v>
      </c>
      <c r="K30" s="30" t="str">
        <f t="array" ref="K30">IF(J30="Y",MAX(IF(WnSAssignmentHarbourCruise=$A30,TaskRankRequirements)),"")</f>
        <v/>
      </c>
      <c r="L30" s="31" t="s">
        <v>356</v>
      </c>
      <c r="M30" s="31" t="s">
        <v>356</v>
      </c>
      <c r="N30" s="31" t="s">
        <v>356</v>
      </c>
      <c r="O30" s="31" t="s">
        <v>356</v>
      </c>
      <c r="P30" s="32" t="s">
        <v>356</v>
      </c>
      <c r="Q30" s="29" t="str">
        <f t="shared" si="2"/>
        <v>-</v>
      </c>
      <c r="R30" s="30" t="str">
        <f t="shared" si="3"/>
        <v/>
      </c>
      <c r="S30" s="31" t="s">
        <v>356</v>
      </c>
      <c r="T30" s="31" t="s">
        <v>356</v>
      </c>
      <c r="U30" s="31" t="s">
        <v>356</v>
      </c>
      <c r="V30" s="31" t="s">
        <v>356</v>
      </c>
      <c r="W30" s="32" t="s">
        <v>356</v>
      </c>
      <c r="X30" s="31" t="s">
        <v>356</v>
      </c>
      <c r="Y30" s="31" t="s">
        <v>356</v>
      </c>
      <c r="Z30" s="31" t="s">
        <v>356</v>
      </c>
      <c r="AA30" s="31" t="s">
        <v>356</v>
      </c>
      <c r="AB30" s="31" t="s">
        <v>356</v>
      </c>
      <c r="AC30" s="31"/>
      <c r="AD30" s="32"/>
    </row>
    <row r="31" spans="1:30">
      <c r="A31" t="s">
        <v>385</v>
      </c>
      <c r="B31" s="42" t="s">
        <v>383</v>
      </c>
      <c r="C31" s="67" t="s">
        <v>386</v>
      </c>
      <c r="D31" s="4" t="str">
        <f t="shared" si="0"/>
        <v>-</v>
      </c>
      <c r="E31" s="5" t="str">
        <f t="array" ref="E31">IF(D31="Y",MAX(IF(WnSAssignmentMoveShip=A31,TaskRankRequirements)),"")</f>
        <v/>
      </c>
      <c r="F31" s="1"/>
      <c r="G31" s="1"/>
      <c r="H31" s="1"/>
      <c r="I31" s="2"/>
      <c r="J31" s="29" t="str">
        <f t="shared" si="1"/>
        <v>-</v>
      </c>
      <c r="K31" s="30" t="str">
        <f t="array" ref="K31">IF(J31="Y",MAX(IF(WnSAssignmentHarbourCruise=$A31,TaskRankRequirements)),"")</f>
        <v/>
      </c>
      <c r="L31" s="31" t="s">
        <v>372</v>
      </c>
      <c r="M31" s="31"/>
      <c r="N31" s="31"/>
      <c r="O31" s="31"/>
      <c r="P31" s="32"/>
      <c r="Q31" s="29" t="str">
        <f t="shared" si="2"/>
        <v>-</v>
      </c>
      <c r="R31" s="30" t="str">
        <f t="shared" si="3"/>
        <v/>
      </c>
      <c r="S31" s="31" t="s">
        <v>372</v>
      </c>
      <c r="T31" s="31" t="s">
        <v>361</v>
      </c>
      <c r="U31" s="31" t="s">
        <v>361</v>
      </c>
      <c r="V31" s="31" t="s">
        <v>386</v>
      </c>
      <c r="W31" s="32"/>
      <c r="X31" s="31" t="s">
        <v>372</v>
      </c>
      <c r="Y31" s="31"/>
      <c r="Z31" s="31"/>
      <c r="AA31" s="31"/>
      <c r="AB31" s="31"/>
      <c r="AC31" s="31"/>
      <c r="AD31" s="32"/>
    </row>
    <row r="32" spans="1:30">
      <c r="A32" t="s">
        <v>387</v>
      </c>
      <c r="B32" s="42" t="s">
        <v>383</v>
      </c>
      <c r="C32" s="67"/>
      <c r="D32" s="4" t="str">
        <f t="shared" si="0"/>
        <v>-</v>
      </c>
      <c r="E32" s="5" t="str">
        <f t="array" ref="E32">IF(D32="Y",MAX(IF(WnSAssignmentMoveShip=A32,TaskRankRequirements)),"")</f>
        <v/>
      </c>
      <c r="F32" s="1"/>
      <c r="G32" s="1"/>
      <c r="H32" s="1"/>
      <c r="I32" s="2"/>
      <c r="J32" s="29" t="str">
        <f t="shared" si="1"/>
        <v>-</v>
      </c>
      <c r="K32" s="30" t="str">
        <f t="array" ref="K32">IF(J32="Y",MAX(IF(WnSAssignmentHarbourCruise=$A32,TaskRankRequirements)),"")</f>
        <v/>
      </c>
      <c r="L32" s="31" t="s">
        <v>378</v>
      </c>
      <c r="M32" s="31"/>
      <c r="N32" s="31"/>
      <c r="O32" s="31"/>
      <c r="P32" s="32"/>
      <c r="Q32" s="29" t="str">
        <f t="shared" si="2"/>
        <v>-</v>
      </c>
      <c r="R32" s="30" t="str">
        <f t="shared" si="3"/>
        <v/>
      </c>
      <c r="S32" s="31" t="s">
        <v>378</v>
      </c>
      <c r="T32" s="31" t="s">
        <v>366</v>
      </c>
      <c r="U32" s="31" t="s">
        <v>366</v>
      </c>
      <c r="V32" s="31" t="s">
        <v>366</v>
      </c>
      <c r="W32" s="32"/>
      <c r="X32" s="31" t="s">
        <v>378</v>
      </c>
      <c r="Y32" s="31"/>
      <c r="Z32" s="31"/>
      <c r="AA32" s="31"/>
      <c r="AB32" s="31"/>
      <c r="AC32" s="31"/>
      <c r="AD32" s="32"/>
    </row>
    <row r="33" spans="1:30">
      <c r="A33" t="s">
        <v>388</v>
      </c>
      <c r="B33" s="42" t="s">
        <v>383</v>
      </c>
      <c r="C33" s="67"/>
      <c r="D33" s="4" t="str">
        <f t="shared" si="0"/>
        <v>-</v>
      </c>
      <c r="E33" s="5" t="str">
        <f t="array" ref="E33">IF(D33="Y",MAX(IF(WnSAssignmentMoveShip=A33,TaskRankRequirements)),"")</f>
        <v/>
      </c>
      <c r="F33" s="1"/>
      <c r="G33" s="1"/>
      <c r="H33" s="1"/>
      <c r="I33" s="2"/>
      <c r="J33" s="29" t="str">
        <f t="shared" si="1"/>
        <v>-</v>
      </c>
      <c r="K33" s="30" t="str">
        <f t="array" ref="K33">IF(J33="Y",MAX(IF(WnSAssignmentHarbourCruise=$A33,TaskRankRequirements)),"")</f>
        <v/>
      </c>
      <c r="L33" s="31" t="s">
        <v>389</v>
      </c>
      <c r="M33" s="31"/>
      <c r="N33" s="31"/>
      <c r="O33" s="31"/>
      <c r="P33" s="32"/>
      <c r="Q33" s="29" t="str">
        <f t="shared" si="2"/>
        <v>-</v>
      </c>
      <c r="R33" s="30" t="str">
        <f t="shared" si="3"/>
        <v/>
      </c>
      <c r="S33" s="31" t="s">
        <v>389</v>
      </c>
      <c r="T33" s="31" t="s">
        <v>361</v>
      </c>
      <c r="U33" s="31" t="s">
        <v>361</v>
      </c>
      <c r="V33" s="31" t="s">
        <v>361</v>
      </c>
      <c r="W33" s="32"/>
      <c r="X33" s="31" t="s">
        <v>389</v>
      </c>
      <c r="Y33" s="31"/>
      <c r="Z33" s="31"/>
      <c r="AA33" s="31"/>
      <c r="AB33" s="31"/>
      <c r="AC33" s="31"/>
      <c r="AD33" s="32"/>
    </row>
    <row r="34" spans="1:30">
      <c r="A34" t="s">
        <v>390</v>
      </c>
      <c r="B34" s="42" t="s">
        <v>383</v>
      </c>
      <c r="C34" s="67"/>
      <c r="D34" s="4" t="str">
        <f t="shared" si="0"/>
        <v>-</v>
      </c>
      <c r="E34" s="5" t="str">
        <f t="array" ref="E34">IF(D34="Y",MAX(IF(WnSAssignmentMoveShip=A34,TaskRankRequirements)),"")</f>
        <v/>
      </c>
      <c r="F34" s="1"/>
      <c r="G34" s="1"/>
      <c r="H34" s="1"/>
      <c r="I34" s="2"/>
      <c r="J34" s="29" t="str">
        <f t="shared" si="1"/>
        <v>-</v>
      </c>
      <c r="K34" s="30" t="str">
        <f t="array" ref="K34">IF(J34="Y",MAX(IF(WnSAssignmentHarbourCruise=$A34,TaskRankRequirements)),"")</f>
        <v/>
      </c>
      <c r="L34" s="31" t="s">
        <v>389</v>
      </c>
      <c r="M34" s="31"/>
      <c r="N34" s="31"/>
      <c r="O34" s="31"/>
      <c r="P34" s="32"/>
      <c r="Q34" s="29" t="str">
        <f t="shared" si="2"/>
        <v>-</v>
      </c>
      <c r="R34" s="30" t="str">
        <f t="shared" si="3"/>
        <v/>
      </c>
      <c r="S34" s="31" t="s">
        <v>389</v>
      </c>
      <c r="T34" s="31" t="s">
        <v>366</v>
      </c>
      <c r="U34" s="31" t="s">
        <v>366</v>
      </c>
      <c r="V34" s="31" t="s">
        <v>366</v>
      </c>
      <c r="W34" s="32"/>
      <c r="X34" s="31" t="s">
        <v>389</v>
      </c>
      <c r="Y34" s="31"/>
      <c r="Z34" s="31"/>
      <c r="AA34" s="31"/>
      <c r="AB34" s="31"/>
      <c r="AC34" s="31"/>
      <c r="AD34" s="32"/>
    </row>
    <row r="35" spans="1:30">
      <c r="A35" t="s">
        <v>391</v>
      </c>
      <c r="B35" s="42" t="s">
        <v>383</v>
      </c>
      <c r="C35" s="67" t="s">
        <v>392</v>
      </c>
      <c r="D35" s="4" t="str">
        <f t="shared" si="0"/>
        <v>-</v>
      </c>
      <c r="E35" s="5" t="str">
        <f t="array" ref="E35">IF(D35="Y",MAX(IF(WnSAssignmentMoveShip=A35,TaskRankRequirements)),"")</f>
        <v/>
      </c>
      <c r="F35" s="1"/>
      <c r="G35" s="1"/>
      <c r="H35" s="1"/>
      <c r="I35" s="2"/>
      <c r="J35" s="29" t="str">
        <f t="shared" si="1"/>
        <v>-</v>
      </c>
      <c r="K35" s="30" t="str">
        <f t="array" ref="K35">IF(J35="Y",MAX(IF(WnSAssignmentHarbourCruise=$A35,TaskRankRequirements)),"")</f>
        <v/>
      </c>
      <c r="L35" s="31" t="s">
        <v>392</v>
      </c>
      <c r="M35" s="31" t="s">
        <v>392</v>
      </c>
      <c r="N35" s="31" t="s">
        <v>392</v>
      </c>
      <c r="O35" s="31" t="s">
        <v>392</v>
      </c>
      <c r="P35" s="32"/>
      <c r="Q35" s="29" t="str">
        <f t="shared" si="2"/>
        <v>-</v>
      </c>
      <c r="R35" s="30" t="str">
        <f t="shared" si="3"/>
        <v/>
      </c>
      <c r="S35" s="31" t="s">
        <v>392</v>
      </c>
      <c r="T35" s="31" t="s">
        <v>392</v>
      </c>
      <c r="U35" s="31" t="s">
        <v>392</v>
      </c>
      <c r="V35" s="31" t="s">
        <v>392</v>
      </c>
      <c r="W35" s="32"/>
      <c r="X35" s="31" t="s">
        <v>392</v>
      </c>
      <c r="Y35" s="31" t="s">
        <v>392</v>
      </c>
      <c r="Z35" s="31" t="s">
        <v>392</v>
      </c>
      <c r="AA35" s="31" t="s">
        <v>392</v>
      </c>
      <c r="AB35" s="31"/>
      <c r="AC35" s="31"/>
      <c r="AD35" s="32"/>
    </row>
    <row r="36" spans="1:30">
      <c r="A36" t="s">
        <v>393</v>
      </c>
      <c r="B36" s="39" t="s">
        <v>383</v>
      </c>
      <c r="C36" s="66"/>
      <c r="D36" s="4" t="str">
        <f t="shared" si="0"/>
        <v>-</v>
      </c>
      <c r="E36" s="5" t="str">
        <f t="array" ref="E36">IF(D36="Y",MAX(IF(WnSAssignmentMoveShip=A36,TaskRankRequirements)),"")</f>
        <v/>
      </c>
      <c r="F36" s="1"/>
      <c r="G36" s="1"/>
      <c r="H36" s="1"/>
      <c r="I36" s="2"/>
      <c r="J36" s="4" t="str">
        <f t="shared" si="1"/>
        <v>-</v>
      </c>
      <c r="K36" s="5" t="str">
        <f t="array" ref="K36">IF(J36="Y",MAX(IF(WnSAssignmentHarbourCruise=$A36,TaskRankRequirements)),"")</f>
        <v/>
      </c>
      <c r="L36" s="1"/>
      <c r="M36" s="1"/>
      <c r="N36" s="1"/>
      <c r="O36" s="1"/>
      <c r="P36" s="2"/>
      <c r="Q36" s="25" t="str">
        <f t="shared" si="2"/>
        <v>-</v>
      </c>
      <c r="R36" s="27" t="str">
        <f t="shared" si="3"/>
        <v/>
      </c>
      <c r="S36" s="27"/>
      <c r="T36" s="27" t="s">
        <v>361</v>
      </c>
      <c r="U36" s="27" t="s">
        <v>361</v>
      </c>
      <c r="V36" s="27" t="s">
        <v>361</v>
      </c>
      <c r="W36" s="28"/>
      <c r="X36" s="27"/>
      <c r="Y36" s="27"/>
      <c r="Z36" s="27"/>
      <c r="AA36" s="27"/>
      <c r="AB36" s="27"/>
      <c r="AC36" s="27"/>
      <c r="AD36" s="28"/>
    </row>
    <row r="37" spans="1:30">
      <c r="A37" t="s">
        <v>394</v>
      </c>
      <c r="B37" s="39" t="s">
        <v>383</v>
      </c>
      <c r="C37" s="66"/>
      <c r="D37" s="4" t="str">
        <f t="shared" ref="D37:D67" si="4">IF(COUNTIF(WnSAssignmentMoveShip,$A37)&gt;0,"Y","-")</f>
        <v>-</v>
      </c>
      <c r="E37" s="5" t="str">
        <f t="array" ref="E37">IF(D37="Y",MAX(IF(WnSAssignmentMoveShip=A37,TaskRankRequirements)),"")</f>
        <v/>
      </c>
      <c r="F37" s="1"/>
      <c r="G37" s="1"/>
      <c r="H37" s="1"/>
      <c r="I37" s="2"/>
      <c r="J37" s="4" t="str">
        <f t="shared" ref="J37:J67" si="5">IF(COUNTIF(WnSAssignmentHarbourCruise,$A37)&gt;0,"Y","-")</f>
        <v>-</v>
      </c>
      <c r="K37" s="5" t="str">
        <f t="array" ref="K37">IF(J37="Y",MAX(IF(WnSAssignmentHarbourCruise=$A37,TaskRankRequirements)),"")</f>
        <v/>
      </c>
      <c r="L37" s="1"/>
      <c r="M37" s="1"/>
      <c r="N37" s="1"/>
      <c r="O37" s="1"/>
      <c r="P37" s="2"/>
      <c r="Q37" s="25" t="str">
        <f t="shared" ref="Q37:Q67" si="6">IF(COUNTIF(WnSAssignmentDaySail,$A37)&gt;0,"Y","-")</f>
        <v>-</v>
      </c>
      <c r="R37" s="27" t="str">
        <f t="shared" si="3"/>
        <v/>
      </c>
      <c r="S37" s="27"/>
      <c r="T37" s="27" t="s">
        <v>366</v>
      </c>
      <c r="U37" s="27" t="s">
        <v>366</v>
      </c>
      <c r="V37" s="27" t="s">
        <v>366</v>
      </c>
      <c r="W37" s="28"/>
      <c r="X37" s="27"/>
      <c r="Y37" s="27"/>
      <c r="Z37" s="27"/>
      <c r="AA37" s="27"/>
      <c r="AB37" s="27"/>
      <c r="AC37" s="27"/>
      <c r="AD37" s="28"/>
    </row>
    <row r="38" spans="1:30">
      <c r="A38" t="s">
        <v>395</v>
      </c>
      <c r="B38" s="39" t="s">
        <v>383</v>
      </c>
      <c r="C38" s="66"/>
      <c r="D38" s="4" t="str">
        <f t="shared" si="4"/>
        <v>-</v>
      </c>
      <c r="E38" s="5" t="str">
        <f t="array" ref="E38">IF(D38="Y",MAX(IF(WnSAssignmentMoveShip=A38,TaskRankRequirements)),"")</f>
        <v/>
      </c>
      <c r="F38" s="1"/>
      <c r="G38" s="1"/>
      <c r="H38" s="1"/>
      <c r="I38" s="2"/>
      <c r="J38" s="4" t="str">
        <f t="shared" si="5"/>
        <v>-</v>
      </c>
      <c r="K38" s="5" t="str">
        <f t="array" ref="K38">IF(J38="Y",MAX(IF(WnSAssignmentHarbourCruise=$A38,TaskRankRequirements)),"")</f>
        <v/>
      </c>
      <c r="L38" s="1"/>
      <c r="M38" s="1"/>
      <c r="N38" s="1"/>
      <c r="O38" s="1"/>
      <c r="P38" s="2"/>
      <c r="Q38" s="25" t="str">
        <f t="shared" si="6"/>
        <v>-</v>
      </c>
      <c r="R38" s="27" t="str">
        <f t="shared" si="3"/>
        <v/>
      </c>
      <c r="S38" s="27"/>
      <c r="T38" s="27" t="s">
        <v>361</v>
      </c>
      <c r="U38" s="27" t="s">
        <v>361</v>
      </c>
      <c r="V38" s="27" t="s">
        <v>361</v>
      </c>
      <c r="W38" s="28"/>
      <c r="X38" s="27"/>
      <c r="Y38" s="27"/>
      <c r="Z38" s="27"/>
      <c r="AA38" s="27"/>
      <c r="AB38" s="27"/>
      <c r="AC38" s="27"/>
      <c r="AD38" s="28"/>
    </row>
    <row r="39" spans="1:30">
      <c r="A39" t="s">
        <v>396</v>
      </c>
      <c r="B39" s="39" t="s">
        <v>383</v>
      </c>
      <c r="C39" s="66"/>
      <c r="D39" s="4" t="str">
        <f t="shared" si="4"/>
        <v>-</v>
      </c>
      <c r="E39" s="5" t="str">
        <f t="array" ref="E39">IF(D39="Y",MAX(IF(WnSAssignmentMoveShip=A39,TaskRankRequirements)),"")</f>
        <v/>
      </c>
      <c r="F39" s="1"/>
      <c r="G39" s="1"/>
      <c r="H39" s="1"/>
      <c r="I39" s="2"/>
      <c r="J39" s="4" t="str">
        <f t="shared" si="5"/>
        <v>-</v>
      </c>
      <c r="K39" s="5" t="str">
        <f t="array" ref="K39">IF(J39="Y",MAX(IF(WnSAssignmentHarbourCruise=$A39,TaskRankRequirements)),"")</f>
        <v/>
      </c>
      <c r="L39" s="1"/>
      <c r="M39" s="1"/>
      <c r="N39" s="1"/>
      <c r="O39" s="1"/>
      <c r="P39" s="2"/>
      <c r="Q39" s="25" t="str">
        <f t="shared" si="6"/>
        <v>-</v>
      </c>
      <c r="R39" s="27" t="str">
        <f t="shared" si="3"/>
        <v/>
      </c>
      <c r="S39" s="27"/>
      <c r="T39" s="27" t="s">
        <v>366</v>
      </c>
      <c r="U39" s="27" t="s">
        <v>366</v>
      </c>
      <c r="V39" s="27" t="s">
        <v>366</v>
      </c>
      <c r="W39" s="28"/>
      <c r="X39" s="27"/>
      <c r="Y39" s="27"/>
      <c r="Z39" s="27"/>
      <c r="AA39" s="27"/>
      <c r="AB39" s="27"/>
      <c r="AC39" s="27"/>
      <c r="AD39" s="28"/>
    </row>
    <row r="40" spans="1:30">
      <c r="A40" t="s">
        <v>333</v>
      </c>
      <c r="B40" s="40" t="s">
        <v>383</v>
      </c>
      <c r="C40" s="46"/>
      <c r="D40" s="4" t="str">
        <f t="shared" si="4"/>
        <v>-</v>
      </c>
      <c r="E40" s="5" t="str">
        <f t="array" ref="E40">IF(D40="Y",MAX(IF(WnSAssignmentMoveShip=A40,TaskRankRequirements)),"")</f>
        <v/>
      </c>
      <c r="F40" s="1"/>
      <c r="G40" s="1"/>
      <c r="H40" s="1"/>
      <c r="I40" s="2"/>
      <c r="J40" s="7" t="str">
        <f t="shared" si="5"/>
        <v>-</v>
      </c>
      <c r="K40" s="6" t="str">
        <f t="array" ref="K40">IF(J40="Y",MAX(IF(WnSAssignmentHarbourCruise=$A40,TaskRankRequirements)),"")</f>
        <v/>
      </c>
      <c r="L40" s="10"/>
      <c r="M40" s="10"/>
      <c r="N40" s="10"/>
      <c r="O40" s="10"/>
      <c r="P40" s="33"/>
      <c r="Q40" s="7" t="str">
        <f t="shared" si="6"/>
        <v>-</v>
      </c>
      <c r="R40" s="10" t="str">
        <f t="shared" si="3"/>
        <v/>
      </c>
      <c r="S40" s="10"/>
      <c r="T40" s="10"/>
      <c r="U40" s="10"/>
      <c r="V40" s="10"/>
      <c r="W40" s="33"/>
      <c r="X40" s="23"/>
      <c r="Y40" s="23"/>
      <c r="Z40" s="23"/>
      <c r="AA40" s="23"/>
      <c r="AB40" s="23"/>
      <c r="AC40" s="23"/>
      <c r="AD40" s="24"/>
    </row>
    <row r="41" spans="1:30">
      <c r="A41" t="s">
        <v>333</v>
      </c>
      <c r="B41" s="41" t="s">
        <v>383</v>
      </c>
      <c r="C41" s="47"/>
      <c r="D41" s="4" t="str">
        <f t="shared" si="4"/>
        <v>-</v>
      </c>
      <c r="E41" s="5" t="str">
        <f t="array" ref="E41">IF(D41="Y",MAX(IF(WnSAssignmentMoveShip=A41,TaskRankRequirements)),"")</f>
        <v/>
      </c>
      <c r="F41" s="1"/>
      <c r="G41" s="1"/>
      <c r="H41" s="1"/>
      <c r="I41" s="2"/>
      <c r="J41" s="4" t="str">
        <f t="shared" si="5"/>
        <v>-</v>
      </c>
      <c r="K41" s="5" t="str">
        <f t="array" ref="K41">IF(J41="Y",MAX(IF(WnSAssignmentHarbourCruise=$A41,TaskRankRequirements)),"")</f>
        <v/>
      </c>
      <c r="L41" s="1"/>
      <c r="M41" s="1"/>
      <c r="N41" s="1"/>
      <c r="O41" s="1"/>
      <c r="P41" s="2"/>
      <c r="Q41" s="4" t="str">
        <f t="shared" si="6"/>
        <v>-</v>
      </c>
      <c r="R41" s="1" t="str">
        <f t="shared" si="3"/>
        <v/>
      </c>
      <c r="S41" s="1"/>
      <c r="T41" s="1"/>
      <c r="U41" s="1"/>
      <c r="V41" s="1"/>
      <c r="W41" s="2"/>
      <c r="X41" s="1"/>
      <c r="Y41" s="1"/>
      <c r="Z41" s="1"/>
      <c r="AA41" s="1"/>
      <c r="AB41" s="1"/>
      <c r="AC41" s="1"/>
      <c r="AD41" s="2"/>
    </row>
    <row r="42" spans="1:30">
      <c r="A42" t="s">
        <v>333</v>
      </c>
      <c r="B42" s="41" t="s">
        <v>383</v>
      </c>
      <c r="C42" s="47"/>
      <c r="D42" s="4" t="str">
        <f t="shared" si="4"/>
        <v>-</v>
      </c>
      <c r="E42" s="5" t="str">
        <f t="array" ref="E42">IF(D42="Y",MAX(IF(WnSAssignmentMoveShip=A42,TaskRankRequirements)),"")</f>
        <v/>
      </c>
      <c r="F42" s="1"/>
      <c r="G42" s="1"/>
      <c r="H42" s="1"/>
      <c r="I42" s="2"/>
      <c r="J42" s="4" t="str">
        <f t="shared" si="5"/>
        <v>-</v>
      </c>
      <c r="K42" s="5" t="str">
        <f t="array" ref="K42">IF(J42="Y",MAX(IF(WnSAssignmentHarbourCruise=$A42,TaskRankRequirements)),"")</f>
        <v/>
      </c>
      <c r="L42" s="1"/>
      <c r="M42" s="1"/>
      <c r="N42" s="1"/>
      <c r="O42" s="1"/>
      <c r="P42" s="2"/>
      <c r="Q42" s="4" t="str">
        <f t="shared" si="6"/>
        <v>-</v>
      </c>
      <c r="R42" s="1" t="str">
        <f t="shared" si="3"/>
        <v/>
      </c>
      <c r="S42" s="1"/>
      <c r="T42" s="1"/>
      <c r="U42" s="1"/>
      <c r="V42" s="1"/>
      <c r="W42" s="2"/>
      <c r="X42" s="1"/>
      <c r="Y42" s="1"/>
      <c r="Z42" s="1"/>
      <c r="AA42" s="1"/>
      <c r="AB42" s="1"/>
      <c r="AC42" s="1"/>
      <c r="AD42" s="2"/>
    </row>
    <row r="43" spans="1:30">
      <c r="A43" t="s">
        <v>333</v>
      </c>
      <c r="B43" s="41" t="s">
        <v>383</v>
      </c>
      <c r="C43" s="47"/>
      <c r="D43" s="4" t="str">
        <f t="shared" si="4"/>
        <v>-</v>
      </c>
      <c r="E43" s="5" t="str">
        <f t="array" ref="E43">IF(D43="Y",MAX(IF(WnSAssignmentMoveShip=A43,TaskRankRequirements)),"")</f>
        <v/>
      </c>
      <c r="F43" s="1"/>
      <c r="G43" s="1"/>
      <c r="H43" s="1"/>
      <c r="I43" s="2"/>
      <c r="J43" s="4" t="str">
        <f t="shared" si="5"/>
        <v>-</v>
      </c>
      <c r="K43" s="5" t="str">
        <f t="array" ref="K43">IF(J43="Y",MAX(IF(WnSAssignmentHarbourCruise=$A43,TaskRankRequirements)),"")</f>
        <v/>
      </c>
      <c r="L43" s="1"/>
      <c r="M43" s="1"/>
      <c r="N43" s="1"/>
      <c r="O43" s="1"/>
      <c r="P43" s="2"/>
      <c r="Q43" s="4" t="str">
        <f t="shared" si="6"/>
        <v>-</v>
      </c>
      <c r="R43" s="1" t="str">
        <f t="shared" si="3"/>
        <v/>
      </c>
      <c r="S43" s="1"/>
      <c r="T43" s="1"/>
      <c r="U43" s="1"/>
      <c r="V43" s="1"/>
      <c r="W43" s="2"/>
      <c r="X43" s="1"/>
      <c r="Y43" s="1"/>
      <c r="Z43" s="1"/>
      <c r="AA43" s="1"/>
      <c r="AB43" s="1"/>
      <c r="AC43" s="1"/>
      <c r="AD43" s="2"/>
    </row>
    <row r="44" spans="1:30">
      <c r="A44" t="s">
        <v>333</v>
      </c>
      <c r="B44" s="41" t="s">
        <v>383</v>
      </c>
      <c r="C44" s="47"/>
      <c r="D44" s="4" t="str">
        <f t="shared" si="4"/>
        <v>-</v>
      </c>
      <c r="E44" s="5" t="str">
        <f t="array" ref="E44">IF(D44="Y",MAX(IF(WnSAssignmentMoveShip=A44,TaskRankRequirements)),"")</f>
        <v/>
      </c>
      <c r="F44" s="1"/>
      <c r="G44" s="1"/>
      <c r="H44" s="1"/>
      <c r="I44" s="2"/>
      <c r="J44" s="4" t="str">
        <f t="shared" si="5"/>
        <v>-</v>
      </c>
      <c r="K44" s="5" t="str">
        <f t="array" ref="K44">IF(J44="Y",MAX(IF(WnSAssignmentHarbourCruise=$A44,TaskRankRequirements)),"")</f>
        <v/>
      </c>
      <c r="L44" s="1"/>
      <c r="M44" s="1"/>
      <c r="N44" s="1"/>
      <c r="O44" s="1"/>
      <c r="P44" s="2"/>
      <c r="Q44" s="4" t="str">
        <f t="shared" si="6"/>
        <v>-</v>
      </c>
      <c r="R44" s="1" t="str">
        <f t="shared" si="3"/>
        <v/>
      </c>
      <c r="S44" s="1"/>
      <c r="T44" s="1"/>
      <c r="U44" s="1"/>
      <c r="V44" s="1"/>
      <c r="W44" s="2"/>
      <c r="X44" s="1"/>
      <c r="Y44" s="1"/>
      <c r="Z44" s="1"/>
      <c r="AA44" s="1"/>
      <c r="AB44" s="1"/>
      <c r="AC44" s="1"/>
      <c r="AD44" s="2"/>
    </row>
    <row r="45" spans="1:30">
      <c r="A45" t="s">
        <v>333</v>
      </c>
      <c r="B45" s="41" t="s">
        <v>383</v>
      </c>
      <c r="C45" s="47"/>
      <c r="D45" s="4" t="str">
        <f t="shared" si="4"/>
        <v>-</v>
      </c>
      <c r="E45" s="5" t="str">
        <f t="array" ref="E45">IF(D45="Y",MAX(IF(WnSAssignmentMoveShip=A45,TaskRankRequirements)),"")</f>
        <v/>
      </c>
      <c r="F45" s="1"/>
      <c r="G45" s="1"/>
      <c r="H45" s="1"/>
      <c r="I45" s="2"/>
      <c r="J45" s="4" t="str">
        <f t="shared" si="5"/>
        <v>-</v>
      </c>
      <c r="K45" s="5" t="str">
        <f t="array" ref="K45">IF(J45="Y",MAX(IF(WnSAssignmentHarbourCruise=$A45,TaskRankRequirements)),"")</f>
        <v/>
      </c>
      <c r="L45" s="1"/>
      <c r="M45" s="1"/>
      <c r="N45" s="1"/>
      <c r="O45" s="1"/>
      <c r="P45" s="2"/>
      <c r="Q45" s="4" t="str">
        <f t="shared" si="6"/>
        <v>-</v>
      </c>
      <c r="R45" s="1" t="str">
        <f t="shared" si="3"/>
        <v/>
      </c>
      <c r="S45" s="1"/>
      <c r="T45" s="1"/>
      <c r="U45" s="1"/>
      <c r="V45" s="1"/>
      <c r="W45" s="2"/>
      <c r="X45" s="1"/>
      <c r="Y45" s="1"/>
      <c r="Z45" s="1"/>
      <c r="AA45" s="1"/>
      <c r="AB45" s="1"/>
      <c r="AC45" s="1"/>
      <c r="AD45" s="2"/>
    </row>
    <row r="46" spans="1:30">
      <c r="A46" t="s">
        <v>333</v>
      </c>
      <c r="B46" s="43" t="s">
        <v>397</v>
      </c>
      <c r="C46" s="68"/>
      <c r="D46" s="4" t="str">
        <f t="shared" si="4"/>
        <v>-</v>
      </c>
      <c r="E46" s="5" t="str">
        <f t="array" ref="E46">IF(D46="Y",MAX(IF(WnSAssignmentMoveShip=A46,TaskRankRequirements)),"")</f>
        <v/>
      </c>
      <c r="F46" s="1"/>
      <c r="G46" s="1"/>
      <c r="H46" s="1"/>
      <c r="I46" s="2"/>
      <c r="J46" s="4" t="str">
        <f t="shared" si="5"/>
        <v>-</v>
      </c>
      <c r="K46" s="5" t="str">
        <f t="array" ref="K46">IF(J46="Y",MAX(IF(WnSAssignmentHarbourCruise=$A46,TaskRankRequirements)),"")</f>
        <v/>
      </c>
      <c r="L46" s="1"/>
      <c r="M46" s="1"/>
      <c r="N46" s="1"/>
      <c r="O46" s="1"/>
      <c r="P46" s="2"/>
      <c r="Q46" s="4" t="str">
        <f t="shared" si="6"/>
        <v>-</v>
      </c>
      <c r="R46" s="1" t="str">
        <f t="shared" si="3"/>
        <v/>
      </c>
      <c r="S46" s="1"/>
      <c r="T46" s="1"/>
      <c r="U46" s="1"/>
      <c r="V46" s="1"/>
      <c r="W46" s="2"/>
      <c r="X46" s="1"/>
      <c r="Y46" s="1"/>
      <c r="Z46" s="1"/>
      <c r="AA46" s="1"/>
      <c r="AB46" s="1"/>
      <c r="AC46" s="1"/>
      <c r="AD46" s="2"/>
    </row>
    <row r="47" spans="1:30">
      <c r="A47" t="s">
        <v>333</v>
      </c>
      <c r="B47" s="43" t="s">
        <v>397</v>
      </c>
      <c r="C47" s="68"/>
      <c r="D47" s="4" t="str">
        <f t="shared" si="4"/>
        <v>-</v>
      </c>
      <c r="E47" s="5" t="str">
        <f t="array" ref="E47">IF(D47="Y",MAX(IF(WnSAssignmentMoveShip=A47,TaskRankRequirements)),"")</f>
        <v/>
      </c>
      <c r="F47" s="1"/>
      <c r="G47" s="1"/>
      <c r="H47" s="1"/>
      <c r="I47" s="2"/>
      <c r="J47" s="4" t="str">
        <f t="shared" si="5"/>
        <v>-</v>
      </c>
      <c r="K47" s="5" t="str">
        <f t="array" ref="K47">IF(J47="Y",MAX(IF(WnSAssignmentHarbourCruise=$A47,TaskRankRequirements)),"")</f>
        <v/>
      </c>
      <c r="L47" s="1"/>
      <c r="M47" s="1"/>
      <c r="N47" s="1"/>
      <c r="O47" s="1"/>
      <c r="P47" s="2"/>
      <c r="Q47" s="4" t="str">
        <f t="shared" si="6"/>
        <v>-</v>
      </c>
      <c r="R47" s="1" t="str">
        <f t="shared" si="3"/>
        <v/>
      </c>
      <c r="S47" s="1"/>
      <c r="T47" s="1"/>
      <c r="U47" s="1"/>
      <c r="V47" s="1"/>
      <c r="W47" s="2"/>
      <c r="X47" s="1"/>
      <c r="Y47" s="1"/>
      <c r="Z47" s="1"/>
      <c r="AA47" s="1"/>
      <c r="AB47" s="1"/>
      <c r="AC47" s="1"/>
      <c r="AD47" s="2"/>
    </row>
    <row r="48" spans="1:30">
      <c r="A48" t="s">
        <v>333</v>
      </c>
      <c r="B48" s="43" t="s">
        <v>397</v>
      </c>
      <c r="C48" s="68"/>
      <c r="D48" s="4" t="str">
        <f t="shared" si="4"/>
        <v>-</v>
      </c>
      <c r="E48" s="5" t="str">
        <f t="array" ref="E48">IF(D48="Y",MAX(IF(WnSAssignmentMoveShip=A48,TaskRankRequirements)),"")</f>
        <v/>
      </c>
      <c r="F48" s="1"/>
      <c r="G48" s="1"/>
      <c r="H48" s="1"/>
      <c r="I48" s="2"/>
      <c r="J48" s="4" t="str">
        <f t="shared" si="5"/>
        <v>-</v>
      </c>
      <c r="K48" s="5" t="str">
        <f t="array" ref="K48">IF(J48="Y",MAX(IF(WnSAssignmentHarbourCruise=$A48,TaskRankRequirements)),"")</f>
        <v/>
      </c>
      <c r="L48" s="1"/>
      <c r="M48" s="1"/>
      <c r="N48" s="1"/>
      <c r="O48" s="1"/>
      <c r="P48" s="2"/>
      <c r="Q48" s="4" t="str">
        <f t="shared" si="6"/>
        <v>-</v>
      </c>
      <c r="R48" s="1" t="str">
        <f t="shared" si="3"/>
        <v/>
      </c>
      <c r="S48" s="1"/>
      <c r="T48" s="1"/>
      <c r="U48" s="1"/>
      <c r="V48" s="1"/>
      <c r="W48" s="2"/>
      <c r="X48" s="1"/>
      <c r="Y48" s="1"/>
      <c r="Z48" s="1"/>
      <c r="AA48" s="1"/>
      <c r="AB48" s="1"/>
      <c r="AC48" s="1"/>
      <c r="AD48" s="2"/>
    </row>
    <row r="49" spans="1:30">
      <c r="A49" t="s">
        <v>333</v>
      </c>
      <c r="B49" s="43" t="s">
        <v>397</v>
      </c>
      <c r="C49" s="68"/>
      <c r="D49" s="4" t="str">
        <f t="shared" si="4"/>
        <v>-</v>
      </c>
      <c r="E49" s="5" t="str">
        <f t="array" ref="E49">IF(D49="Y",MAX(IF(WnSAssignmentMoveShip=A49,TaskRankRequirements)),"")</f>
        <v/>
      </c>
      <c r="F49" s="1"/>
      <c r="G49" s="1"/>
      <c r="H49" s="1"/>
      <c r="I49" s="2"/>
      <c r="J49" s="4" t="str">
        <f t="shared" si="5"/>
        <v>-</v>
      </c>
      <c r="K49" s="5" t="str">
        <f t="array" ref="K49">IF(J49="Y",MAX(IF(WnSAssignmentHarbourCruise=$A49,TaskRankRequirements)),"")</f>
        <v/>
      </c>
      <c r="L49" s="1"/>
      <c r="M49" s="1"/>
      <c r="N49" s="1"/>
      <c r="O49" s="1"/>
      <c r="P49" s="2"/>
      <c r="Q49" s="4" t="str">
        <f t="shared" si="6"/>
        <v>-</v>
      </c>
      <c r="R49" s="1" t="str">
        <f t="shared" si="3"/>
        <v/>
      </c>
      <c r="S49" s="1"/>
      <c r="T49" s="1"/>
      <c r="U49" s="1"/>
      <c r="V49" s="1"/>
      <c r="W49" s="2"/>
      <c r="X49" s="1"/>
      <c r="Y49" s="1"/>
      <c r="Z49" s="1"/>
      <c r="AA49" s="1"/>
      <c r="AB49" s="1"/>
      <c r="AC49" s="1"/>
      <c r="AD49" s="2"/>
    </row>
    <row r="50" spans="1:30">
      <c r="A50" t="s">
        <v>333</v>
      </c>
      <c r="B50" s="43"/>
      <c r="C50" s="68"/>
      <c r="D50" s="4" t="str">
        <f t="shared" si="4"/>
        <v>-</v>
      </c>
      <c r="E50" s="5" t="str">
        <f t="array" ref="E50">IF(D50="Y",MAX(IF(WnSAssignmentMoveShip=A50,TaskRankRequirements)),"")</f>
        <v/>
      </c>
      <c r="F50" s="1"/>
      <c r="G50" s="1"/>
      <c r="H50" s="1"/>
      <c r="I50" s="2"/>
      <c r="J50" s="4" t="str">
        <f t="shared" si="5"/>
        <v>-</v>
      </c>
      <c r="K50" s="5" t="str">
        <f t="array" ref="K50">IF(J50="Y",MAX(IF(WnSAssignmentHarbourCruise=$A50,TaskRankRequirements)),"")</f>
        <v/>
      </c>
      <c r="L50" s="1"/>
      <c r="M50" s="1"/>
      <c r="N50" s="1"/>
      <c r="O50" s="1"/>
      <c r="P50" s="2"/>
      <c r="Q50" s="4" t="str">
        <f t="shared" si="6"/>
        <v>-</v>
      </c>
      <c r="R50" s="1" t="str">
        <f t="shared" si="3"/>
        <v/>
      </c>
      <c r="S50" s="1"/>
      <c r="T50" s="1"/>
      <c r="U50" s="1"/>
      <c r="V50" s="1"/>
      <c r="W50" s="2"/>
      <c r="X50" s="1"/>
      <c r="Y50" s="1"/>
      <c r="Z50" s="1"/>
      <c r="AA50" s="1"/>
      <c r="AB50" s="1"/>
      <c r="AC50" s="1"/>
      <c r="AD50" s="2"/>
    </row>
    <row r="51" spans="1:30">
      <c r="A51" s="13" t="s">
        <v>333</v>
      </c>
      <c r="B51" s="44" t="s">
        <v>398</v>
      </c>
      <c r="C51" s="74"/>
      <c r="D51" s="11" t="str">
        <f t="shared" si="4"/>
        <v>-</v>
      </c>
      <c r="E51" s="12" t="str">
        <f t="array" ref="E51">IF(D51="Y",MAX(IF(WnSAssignmentMoveShip=A51,TaskRankRequirements)),"")</f>
        <v/>
      </c>
      <c r="F51" s="13"/>
      <c r="G51" s="13"/>
      <c r="H51" s="13"/>
      <c r="I51" s="14"/>
      <c r="J51" s="11" t="str">
        <f t="shared" si="5"/>
        <v>-</v>
      </c>
      <c r="K51" s="12" t="str">
        <f t="array" ref="K51">IF(J51="Y",MAX(IF(WnSAssignmentHarbourCruise=$A51,TaskRankRequirements)),"")</f>
        <v/>
      </c>
      <c r="L51" s="13"/>
      <c r="M51" s="13"/>
      <c r="N51" s="13"/>
      <c r="O51" s="13"/>
      <c r="P51" s="14"/>
      <c r="Q51" s="11" t="str">
        <f t="shared" si="6"/>
        <v>-</v>
      </c>
      <c r="R51" s="13" t="str">
        <f t="shared" si="3"/>
        <v/>
      </c>
      <c r="S51" s="13"/>
      <c r="T51" s="13"/>
      <c r="U51" s="13"/>
      <c r="V51" s="13"/>
      <c r="W51" s="14"/>
      <c r="X51" s="13"/>
      <c r="Y51" s="13"/>
      <c r="Z51" s="13"/>
      <c r="AA51" s="13"/>
      <c r="AB51" s="13"/>
      <c r="AC51" s="13"/>
      <c r="AD51" s="14"/>
    </row>
    <row r="52" spans="1:30">
      <c r="A52" t="s">
        <v>399</v>
      </c>
      <c r="B52" s="34" t="s">
        <v>43</v>
      </c>
      <c r="C52" s="65"/>
      <c r="D52" s="19" t="str">
        <f t="shared" si="4"/>
        <v>-</v>
      </c>
      <c r="E52" s="20">
        <v>4</v>
      </c>
      <c r="F52" s="21" t="s">
        <v>400</v>
      </c>
      <c r="G52" s="21" t="s">
        <v>401</v>
      </c>
      <c r="H52" s="21"/>
      <c r="I52" s="22"/>
      <c r="J52" s="19" t="str">
        <f t="shared" si="5"/>
        <v>-</v>
      </c>
      <c r="K52" s="20" t="str">
        <f t="array" ref="K52">IF(J52="Y",MAX(IF(WnSAssignmentHarbourCruise=$A52,TaskRankRequirements)),"")</f>
        <v/>
      </c>
      <c r="L52" s="21" t="s">
        <v>402</v>
      </c>
      <c r="M52" s="21" t="s">
        <v>402</v>
      </c>
      <c r="N52" s="21" t="s">
        <v>402</v>
      </c>
      <c r="O52" s="21" t="s">
        <v>402</v>
      </c>
      <c r="P52" s="58"/>
      <c r="Q52" s="19" t="str">
        <f t="shared" si="6"/>
        <v>-</v>
      </c>
      <c r="R52" s="20"/>
      <c r="S52" s="21" t="s">
        <v>402</v>
      </c>
      <c r="T52" s="21" t="s">
        <v>402</v>
      </c>
      <c r="U52" s="21" t="s">
        <v>402</v>
      </c>
      <c r="V52" s="21" t="s">
        <v>402</v>
      </c>
      <c r="W52" s="58"/>
      <c r="X52" s="20"/>
      <c r="Y52" s="20"/>
      <c r="Z52" s="20"/>
      <c r="AA52" s="20"/>
      <c r="AB52" s="20"/>
      <c r="AC52" s="20"/>
      <c r="AD52" s="58"/>
    </row>
    <row r="53" spans="1:30">
      <c r="A53" t="s">
        <v>403</v>
      </c>
      <c r="B53" s="69" t="s">
        <v>404</v>
      </c>
      <c r="C53" s="45"/>
      <c r="D53" s="4" t="str">
        <f t="shared" si="4"/>
        <v>-</v>
      </c>
      <c r="E53" s="1"/>
      <c r="F53" s="1"/>
      <c r="G53" s="1"/>
      <c r="H53" s="1"/>
      <c r="I53" s="2"/>
      <c r="J53" s="29" t="str">
        <f t="shared" si="5"/>
        <v>-</v>
      </c>
      <c r="K53" s="31" t="str">
        <f t="array" ref="K53">IF(J53="Y",MAX(IF(WnSAssignmentHarbourCruise=$A53,TaskRankRequirements)),"")</f>
        <v/>
      </c>
      <c r="L53" s="31" t="s">
        <v>400</v>
      </c>
      <c r="M53" s="31" t="s">
        <v>400</v>
      </c>
      <c r="N53" s="31" t="s">
        <v>400</v>
      </c>
      <c r="O53" s="31" t="s">
        <v>400</v>
      </c>
      <c r="P53" s="32"/>
      <c r="Q53" s="29" t="str">
        <f t="shared" si="6"/>
        <v>-</v>
      </c>
      <c r="R53" s="31"/>
      <c r="S53" s="31" t="s">
        <v>400</v>
      </c>
      <c r="T53" s="31" t="s">
        <v>400</v>
      </c>
      <c r="U53" s="31" t="s">
        <v>400</v>
      </c>
      <c r="V53" s="31" t="s">
        <v>400</v>
      </c>
      <c r="W53" s="32"/>
      <c r="X53" s="31"/>
      <c r="Y53" s="31"/>
      <c r="Z53" s="31"/>
      <c r="AA53" s="31"/>
      <c r="AB53" s="31"/>
      <c r="AC53" s="31"/>
      <c r="AD53" s="32"/>
    </row>
    <row r="54" spans="1:30">
      <c r="A54" t="s">
        <v>333</v>
      </c>
      <c r="B54" s="40" t="s">
        <v>405</v>
      </c>
      <c r="C54" s="46"/>
      <c r="D54" s="4" t="str">
        <f t="shared" si="4"/>
        <v>-</v>
      </c>
      <c r="E54" s="1"/>
      <c r="F54" s="1"/>
      <c r="G54" s="1"/>
      <c r="H54" s="1"/>
      <c r="I54" s="2"/>
      <c r="J54" s="7" t="str">
        <f t="shared" si="5"/>
        <v>-</v>
      </c>
      <c r="K54" s="10" t="str">
        <f t="array" ref="K54">IF(J54="Y",MAX(IF(WnSAssignmentHarbourCruise=$A54,TaskRankRequirements)),"")</f>
        <v/>
      </c>
      <c r="L54" s="10"/>
      <c r="M54" s="10"/>
      <c r="N54" s="10"/>
      <c r="O54" s="10"/>
      <c r="P54" s="33"/>
      <c r="Q54" s="7" t="str">
        <f t="shared" si="6"/>
        <v>-</v>
      </c>
      <c r="R54" s="10"/>
      <c r="S54" s="10"/>
      <c r="T54" s="10"/>
      <c r="U54" s="10"/>
      <c r="V54" s="10"/>
      <c r="W54" s="33"/>
      <c r="X54" s="23"/>
      <c r="Y54" s="23"/>
      <c r="Z54" s="23"/>
      <c r="AA54" s="23"/>
      <c r="AB54" s="23"/>
      <c r="AC54" s="23"/>
      <c r="AD54" s="24"/>
    </row>
    <row r="55" spans="1:30">
      <c r="A55" t="s">
        <v>333</v>
      </c>
      <c r="B55" s="41" t="s">
        <v>405</v>
      </c>
      <c r="C55" s="47"/>
      <c r="D55" s="4" t="str">
        <f t="shared" si="4"/>
        <v>-</v>
      </c>
      <c r="E55" s="1"/>
      <c r="F55" s="1"/>
      <c r="G55" s="1"/>
      <c r="H55" s="1"/>
      <c r="I55" s="2"/>
      <c r="J55" s="4" t="str">
        <f t="shared" si="5"/>
        <v>-</v>
      </c>
      <c r="K55" s="1" t="str">
        <f t="array" ref="K55">IF(J55="Y",MAX(IF(WnSAssignmentHarbourCruise=$A55,TaskRankRequirements)),"")</f>
        <v/>
      </c>
      <c r="L55" s="1"/>
      <c r="M55" s="1"/>
      <c r="N55" s="1"/>
      <c r="O55" s="1"/>
      <c r="P55" s="2"/>
      <c r="Q55" s="4" t="str">
        <f t="shared" si="6"/>
        <v>-</v>
      </c>
      <c r="R55" s="1"/>
      <c r="S55" s="1"/>
      <c r="T55" s="1"/>
      <c r="U55" s="1"/>
      <c r="V55" s="1"/>
      <c r="W55" s="2"/>
      <c r="X55" s="1"/>
      <c r="Y55" s="1"/>
      <c r="Z55" s="1"/>
      <c r="AA55" s="1"/>
      <c r="AB55" s="1"/>
      <c r="AC55" s="1"/>
      <c r="AD55" s="2"/>
    </row>
    <row r="56" spans="1:30">
      <c r="A56" t="s">
        <v>333</v>
      </c>
      <c r="B56" s="37"/>
      <c r="C56" s="48"/>
      <c r="D56" s="4" t="str">
        <f t="shared" si="4"/>
        <v>-</v>
      </c>
      <c r="E56" s="1"/>
      <c r="F56" s="1"/>
      <c r="G56" s="1"/>
      <c r="H56" s="1"/>
      <c r="I56" s="2"/>
      <c r="J56" s="4" t="str">
        <f t="shared" si="5"/>
        <v>-</v>
      </c>
      <c r="K56" s="1" t="str">
        <f t="array" ref="K56">IF(J56="Y",MAX(IF(WnSAssignmentHarbourCruise=$A56,TaskRankRequirements)),"")</f>
        <v/>
      </c>
      <c r="L56" s="1"/>
      <c r="M56" s="1"/>
      <c r="N56" s="1"/>
      <c r="O56" s="1"/>
      <c r="P56" s="2"/>
      <c r="Q56" s="4" t="str">
        <f t="shared" si="6"/>
        <v>-</v>
      </c>
      <c r="R56" s="1"/>
      <c r="S56" s="1"/>
      <c r="T56" s="1"/>
      <c r="U56" s="1"/>
      <c r="V56" s="1"/>
      <c r="W56" s="2"/>
      <c r="X56" s="1"/>
      <c r="Y56" s="1"/>
      <c r="Z56" s="1"/>
      <c r="AA56" s="1"/>
      <c r="AB56" s="1"/>
      <c r="AC56" s="1"/>
      <c r="AD56" s="2"/>
    </row>
    <row r="57" spans="1:30">
      <c r="A57" s="13" t="s">
        <v>333</v>
      </c>
      <c r="B57" s="72" t="s">
        <v>12</v>
      </c>
      <c r="C57" s="73"/>
      <c r="D57" s="11" t="str">
        <f t="shared" si="4"/>
        <v>-</v>
      </c>
      <c r="E57" s="13"/>
      <c r="F57" s="13"/>
      <c r="G57" s="13"/>
      <c r="H57" s="13"/>
      <c r="I57" s="14"/>
      <c r="J57" s="11" t="str">
        <f t="shared" si="5"/>
        <v>-</v>
      </c>
      <c r="K57" s="13" t="str">
        <f t="array" ref="K57">IF(J57="Y",MAX(IF(WnSAssignmentHarbourCruise=$A57,TaskRankRequirements)),"")</f>
        <v/>
      </c>
      <c r="L57" s="13"/>
      <c r="M57" s="13"/>
      <c r="N57" s="13"/>
      <c r="O57" s="13"/>
      <c r="P57" s="14"/>
      <c r="Q57" s="11" t="str">
        <f t="shared" si="6"/>
        <v>-</v>
      </c>
      <c r="R57" s="13"/>
      <c r="S57" s="13"/>
      <c r="T57" s="13"/>
      <c r="U57" s="13"/>
      <c r="V57" s="13"/>
      <c r="W57" s="14"/>
      <c r="X57" s="13"/>
      <c r="Y57" s="13"/>
      <c r="Z57" s="13"/>
      <c r="AA57" s="13"/>
      <c r="AB57" s="13"/>
      <c r="AC57" s="13"/>
      <c r="AD57" s="14"/>
    </row>
    <row r="58" spans="1:30">
      <c r="A58" t="s">
        <v>406</v>
      </c>
      <c r="B58" s="69" t="s">
        <v>407</v>
      </c>
      <c r="C58" s="45"/>
      <c r="D58" s="4" t="str">
        <f t="shared" si="4"/>
        <v>-</v>
      </c>
      <c r="E58" s="1"/>
      <c r="F58" s="1"/>
      <c r="G58" s="1"/>
      <c r="H58" s="1"/>
      <c r="I58" s="2"/>
      <c r="J58" s="29" t="str">
        <f t="shared" si="5"/>
        <v>-</v>
      </c>
      <c r="K58" s="31" t="str">
        <f t="array" ref="K58">IF(J58="Y",MAX(IF(WnSAssignmentHarbourCruise=$A58,TaskRankRequirements)),"")</f>
        <v/>
      </c>
      <c r="L58" s="31" t="s">
        <v>408</v>
      </c>
      <c r="M58" s="31"/>
      <c r="N58" s="31" t="s">
        <v>409</v>
      </c>
      <c r="O58" s="31"/>
      <c r="P58" s="32"/>
      <c r="Q58" s="29" t="str">
        <f t="shared" si="6"/>
        <v>-</v>
      </c>
      <c r="R58" s="31"/>
      <c r="S58" s="31" t="s">
        <v>408</v>
      </c>
      <c r="T58" s="31"/>
      <c r="U58" s="31" t="s">
        <v>409</v>
      </c>
      <c r="V58" s="31"/>
      <c r="W58" s="32"/>
      <c r="X58" s="31"/>
      <c r="Y58" s="31"/>
      <c r="Z58" s="31"/>
      <c r="AA58" s="31"/>
      <c r="AB58" s="31"/>
      <c r="AC58" s="31"/>
      <c r="AD58" s="32"/>
    </row>
    <row r="59" spans="1:30">
      <c r="A59" t="s">
        <v>333</v>
      </c>
      <c r="B59" s="41" t="s">
        <v>410</v>
      </c>
      <c r="C59" s="47"/>
      <c r="D59" s="4" t="str">
        <f t="shared" si="4"/>
        <v>-</v>
      </c>
      <c r="E59" s="1"/>
      <c r="F59" s="1"/>
      <c r="G59" s="1"/>
      <c r="H59" s="1"/>
      <c r="I59" s="2"/>
      <c r="J59" s="4" t="str">
        <f t="shared" si="5"/>
        <v>-</v>
      </c>
      <c r="K59" s="1" t="str">
        <f t="array" ref="K59">IF(J59="Y",MAX(IF(WnSAssignmentHarbourCruise=$A59,TaskRankRequirements)),"")</f>
        <v/>
      </c>
      <c r="L59" s="1"/>
      <c r="M59" s="1"/>
      <c r="N59" s="1"/>
      <c r="O59" s="1"/>
      <c r="P59" s="2"/>
      <c r="Q59" s="4" t="str">
        <f t="shared" si="6"/>
        <v>-</v>
      </c>
      <c r="R59" s="1"/>
      <c r="S59" s="1"/>
      <c r="T59" s="1"/>
      <c r="U59" s="1"/>
      <c r="V59" s="1"/>
      <c r="W59" s="2"/>
      <c r="X59" s="1"/>
      <c r="Y59" s="1"/>
      <c r="Z59" s="1"/>
      <c r="AA59" s="1"/>
      <c r="AB59" s="1"/>
      <c r="AC59" s="1"/>
      <c r="AD59" s="2"/>
    </row>
    <row r="60" spans="1:30">
      <c r="A60" t="s">
        <v>411</v>
      </c>
      <c r="B60" s="69" t="s">
        <v>412</v>
      </c>
      <c r="C60" s="45"/>
      <c r="D60" s="4" t="str">
        <f t="shared" si="4"/>
        <v>-</v>
      </c>
      <c r="E60" s="1"/>
      <c r="F60" s="1"/>
      <c r="G60" s="1"/>
      <c r="H60" s="1"/>
      <c r="I60" s="2"/>
      <c r="J60" s="29" t="str">
        <f t="shared" si="5"/>
        <v>-</v>
      </c>
      <c r="K60" s="31" t="str">
        <f t="array" ref="K60">IF(J60="Y",MAX(IF(WnSAssignmentHarbourCruise=$A60,TaskRankRequirements)),"")</f>
        <v/>
      </c>
      <c r="L60" s="31"/>
      <c r="M60" s="31"/>
      <c r="N60" s="31" t="s">
        <v>413</v>
      </c>
      <c r="O60" s="31"/>
      <c r="P60" s="32"/>
      <c r="Q60" s="29" t="str">
        <f t="shared" si="6"/>
        <v>-</v>
      </c>
      <c r="R60" s="31"/>
      <c r="S60" s="31"/>
      <c r="T60" s="31"/>
      <c r="U60" s="31" t="s">
        <v>413</v>
      </c>
      <c r="V60" s="31"/>
      <c r="W60" s="32"/>
      <c r="X60" s="31"/>
      <c r="Y60" s="31"/>
      <c r="Z60" s="31"/>
      <c r="AA60" s="31"/>
      <c r="AB60" s="31"/>
      <c r="AC60" s="31"/>
      <c r="AD60" s="32"/>
    </row>
    <row r="61" spans="1:30">
      <c r="A61" t="s">
        <v>414</v>
      </c>
      <c r="B61" s="69" t="s">
        <v>412</v>
      </c>
      <c r="C61" s="45"/>
      <c r="D61" s="4" t="str">
        <f t="shared" si="4"/>
        <v>-</v>
      </c>
      <c r="E61" s="1"/>
      <c r="F61" s="1"/>
      <c r="G61" s="1"/>
      <c r="H61" s="1"/>
      <c r="I61" s="2"/>
      <c r="J61" s="29" t="s">
        <v>149</v>
      </c>
      <c r="K61" s="31">
        <f t="array" ref="K61">IF(J61="Y",MAX(IF(WnSAssignmentHarbourCruise=$A61,TaskRankRequirements)),"")</f>
        <v>0</v>
      </c>
      <c r="L61" s="31"/>
      <c r="M61" s="31"/>
      <c r="N61" s="31" t="s">
        <v>413</v>
      </c>
      <c r="O61" s="31"/>
      <c r="P61" s="32"/>
      <c r="Q61" s="29" t="str">
        <f t="shared" si="6"/>
        <v>-</v>
      </c>
      <c r="R61" s="31"/>
      <c r="S61" s="31"/>
      <c r="T61" s="31"/>
      <c r="U61" s="31" t="s">
        <v>413</v>
      </c>
      <c r="V61" s="31"/>
      <c r="W61" s="32"/>
      <c r="X61" s="31"/>
      <c r="Y61" s="31"/>
      <c r="Z61" s="31"/>
      <c r="AA61" s="31"/>
      <c r="AB61" s="31"/>
      <c r="AC61" s="31"/>
      <c r="AD61" s="32"/>
    </row>
    <row r="62" spans="1:30">
      <c r="A62" t="s">
        <v>415</v>
      </c>
      <c r="B62" s="70" t="s">
        <v>412</v>
      </c>
      <c r="C62" s="49"/>
      <c r="D62" s="4" t="str">
        <f t="shared" si="4"/>
        <v>-</v>
      </c>
      <c r="E62" s="1"/>
      <c r="F62" s="1"/>
      <c r="G62" s="1"/>
      <c r="H62" s="1"/>
      <c r="I62" s="2"/>
      <c r="J62" s="4" t="str">
        <f t="shared" si="5"/>
        <v>-</v>
      </c>
      <c r="K62" s="1" t="str">
        <f t="array" ref="K62">IF(J62="Y",MAX(IF(WnSAssignmentHarbourCruise=$A62,TaskRankRequirements)),"")</f>
        <v/>
      </c>
      <c r="L62" s="1"/>
      <c r="M62" s="1"/>
      <c r="N62" s="1"/>
      <c r="O62" s="1"/>
      <c r="P62" s="2"/>
      <c r="Q62" s="25" t="str">
        <f t="shared" si="6"/>
        <v>-</v>
      </c>
      <c r="R62" s="27"/>
      <c r="S62" s="27"/>
      <c r="T62" s="27"/>
      <c r="U62" s="27" t="s">
        <v>413</v>
      </c>
      <c r="V62" s="27"/>
      <c r="W62" s="28"/>
      <c r="X62" s="27"/>
      <c r="Y62" s="27"/>
      <c r="Z62" s="27"/>
      <c r="AA62" s="27"/>
      <c r="AB62" s="27"/>
      <c r="AC62" s="27"/>
      <c r="AD62" s="28"/>
    </row>
    <row r="63" spans="1:30">
      <c r="A63" t="s">
        <v>333</v>
      </c>
      <c r="B63" s="36" t="s">
        <v>412</v>
      </c>
      <c r="C63" s="50"/>
      <c r="D63" s="4" t="str">
        <f t="shared" si="4"/>
        <v>-</v>
      </c>
      <c r="E63" s="1"/>
      <c r="F63" s="1"/>
      <c r="G63" s="1"/>
      <c r="H63" s="1"/>
      <c r="I63" s="2"/>
      <c r="J63" s="7" t="str">
        <f t="shared" si="5"/>
        <v>-</v>
      </c>
      <c r="K63" s="10" t="str">
        <f t="array" ref="K63">IF(J63="Y",MAX(IF(WnSAssignmentHarbourCruise=$A63,TaskRankRequirements)),"")</f>
        <v/>
      </c>
      <c r="L63" s="10"/>
      <c r="M63" s="10"/>
      <c r="N63" s="10"/>
      <c r="O63" s="10"/>
      <c r="P63" s="33"/>
      <c r="Q63" s="7" t="str">
        <f t="shared" si="6"/>
        <v>-</v>
      </c>
      <c r="R63" s="10"/>
      <c r="S63" s="10"/>
      <c r="T63" s="10"/>
      <c r="U63" s="10"/>
      <c r="V63" s="10"/>
      <c r="W63" s="33"/>
      <c r="X63" s="23"/>
      <c r="Y63" s="23"/>
      <c r="Z63" s="23"/>
      <c r="AA63" s="23"/>
      <c r="AB63" s="23"/>
      <c r="AC63" s="23"/>
      <c r="AD63" s="24"/>
    </row>
    <row r="64" spans="1:30">
      <c r="A64" t="s">
        <v>333</v>
      </c>
      <c r="B64" s="36" t="s">
        <v>412</v>
      </c>
      <c r="C64" s="50"/>
      <c r="D64" s="4" t="str">
        <f t="shared" si="4"/>
        <v>-</v>
      </c>
      <c r="E64" s="1"/>
      <c r="F64" s="1"/>
      <c r="G64" s="1"/>
      <c r="H64" s="1"/>
      <c r="I64" s="2"/>
      <c r="J64" s="7" t="str">
        <f t="shared" si="5"/>
        <v>-</v>
      </c>
      <c r="K64" s="10" t="str">
        <f t="array" ref="K64">IF(J64="Y",MAX(IF(WnSAssignmentHarbourCruise=$A64,TaskRankRequirements)),"")</f>
        <v/>
      </c>
      <c r="L64" s="10"/>
      <c r="M64" s="10"/>
      <c r="N64" s="10"/>
      <c r="O64" s="10"/>
      <c r="P64" s="33"/>
      <c r="Q64" s="7" t="str">
        <f t="shared" si="6"/>
        <v>-</v>
      </c>
      <c r="R64" s="10"/>
      <c r="S64" s="10"/>
      <c r="T64" s="10"/>
      <c r="U64" s="10"/>
      <c r="V64" s="10"/>
      <c r="W64" s="33"/>
      <c r="X64" s="23"/>
      <c r="Y64" s="23"/>
      <c r="Z64" s="23"/>
      <c r="AA64" s="23"/>
      <c r="AB64" s="23"/>
      <c r="AC64" s="23"/>
      <c r="AD64" s="24"/>
    </row>
    <row r="65" spans="1:30">
      <c r="A65" t="s">
        <v>333</v>
      </c>
      <c r="B65" s="59" t="s">
        <v>416</v>
      </c>
      <c r="C65" s="60"/>
      <c r="D65" s="4" t="str">
        <f t="shared" si="4"/>
        <v>-</v>
      </c>
      <c r="E65" s="1"/>
      <c r="F65" s="1"/>
      <c r="G65" s="1"/>
      <c r="H65" s="1"/>
      <c r="I65" s="2"/>
      <c r="J65" s="4" t="str">
        <f t="shared" si="5"/>
        <v>-</v>
      </c>
      <c r="K65" s="1" t="str">
        <f t="array" ref="K65">IF(J65="Y",MAX(IF(WnSAssignmentHarbourCruise=$A65,TaskRankRequirements)),"")</f>
        <v/>
      </c>
      <c r="L65" s="1"/>
      <c r="M65" s="1"/>
      <c r="N65" s="1"/>
      <c r="O65" s="1"/>
      <c r="P65" s="2"/>
      <c r="Q65" s="4" t="str">
        <f t="shared" si="6"/>
        <v>-</v>
      </c>
      <c r="R65" s="1"/>
      <c r="S65" s="1"/>
      <c r="T65" s="1"/>
      <c r="U65" s="1"/>
      <c r="V65" s="1"/>
      <c r="W65" s="2"/>
      <c r="X65" s="1"/>
      <c r="Y65" s="1"/>
      <c r="Z65" s="1"/>
      <c r="AA65" s="1"/>
      <c r="AB65" s="1"/>
      <c r="AC65" s="1"/>
      <c r="AD65" s="2"/>
    </row>
    <row r="66" spans="1:30">
      <c r="A66" s="10" t="s">
        <v>333</v>
      </c>
      <c r="B66" s="37" t="s">
        <v>417</v>
      </c>
      <c r="C66" s="48"/>
      <c r="D66" s="4" t="str">
        <f t="shared" si="4"/>
        <v>-</v>
      </c>
      <c r="E66" s="1"/>
      <c r="F66" s="1"/>
      <c r="G66" s="1"/>
      <c r="H66" s="1"/>
      <c r="I66" s="2"/>
      <c r="J66" s="4" t="str">
        <f t="shared" si="5"/>
        <v>-</v>
      </c>
      <c r="K66" s="1" t="str">
        <f t="array" ref="K66">IF(J66="Y",MAX(IF(WnSAssignmentHarbourCruise=$A66,TaskRankRequirements)),"")</f>
        <v/>
      </c>
      <c r="L66" s="1"/>
      <c r="M66" s="1"/>
      <c r="N66" s="1"/>
      <c r="O66" s="1"/>
      <c r="P66" s="2"/>
      <c r="Q66" s="4" t="str">
        <f t="shared" si="6"/>
        <v>-</v>
      </c>
      <c r="R66" s="1"/>
      <c r="S66" s="1"/>
      <c r="T66" s="1"/>
      <c r="U66" s="1"/>
      <c r="V66" s="1"/>
      <c r="W66" s="2"/>
      <c r="X66" s="1"/>
      <c r="Y66" s="1"/>
      <c r="Z66" s="1"/>
      <c r="AA66" s="1"/>
      <c r="AB66" s="1"/>
      <c r="AC66" s="1"/>
      <c r="AD66" s="2"/>
    </row>
    <row r="67" spans="1:30">
      <c r="A67" s="10" t="s">
        <v>333</v>
      </c>
      <c r="B67" s="71" t="s">
        <v>418</v>
      </c>
      <c r="C67" s="61"/>
      <c r="D67" s="11" t="str">
        <f t="shared" si="4"/>
        <v>-</v>
      </c>
      <c r="E67" s="13"/>
      <c r="F67" s="13"/>
      <c r="G67" s="13"/>
      <c r="H67" s="13"/>
      <c r="I67" s="14"/>
      <c r="J67" s="11" t="str">
        <f t="shared" si="5"/>
        <v>-</v>
      </c>
      <c r="K67" s="13" t="str">
        <f t="array" ref="K67">IF(J67="Y",MAX(IF(WnSAssignmentHarbourCruise=$A67,TaskRankRequirements)),"")</f>
        <v/>
      </c>
      <c r="L67" s="13"/>
      <c r="M67" s="13"/>
      <c r="N67" s="13"/>
      <c r="O67" s="13"/>
      <c r="P67" s="14"/>
      <c r="Q67" s="11" t="str">
        <f t="shared" si="6"/>
        <v>-</v>
      </c>
      <c r="R67" s="13"/>
      <c r="S67" s="13"/>
      <c r="T67" s="13"/>
      <c r="U67" s="13"/>
      <c r="V67" s="13"/>
      <c r="W67" s="14"/>
      <c r="X67" s="13"/>
      <c r="Y67" s="13"/>
      <c r="Z67" s="13"/>
      <c r="AA67" s="13"/>
      <c r="AB67" s="13"/>
      <c r="AC67" s="13"/>
      <c r="AD67" s="14"/>
    </row>
  </sheetData>
  <mergeCells count="8">
    <mergeCell ref="X1:AD1"/>
    <mergeCell ref="Z3:AD3"/>
    <mergeCell ref="F3:I3"/>
    <mergeCell ref="L3:P3"/>
    <mergeCell ref="J1:P1"/>
    <mergeCell ref="D1:I1"/>
    <mergeCell ref="Q1:W1"/>
    <mergeCell ref="S3:W3"/>
  </mergeCells>
  <conditionalFormatting sqref="A5:A67">
    <cfRule type="duplicateValues" dxfId="10" priority="1"/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QO143"/>
  <sheetViews>
    <sheetView workbookViewId="0">
      <pane xSplit="4" ySplit="12" topLeftCell="GP117" activePane="bottomRight" state="frozenSplit"/>
      <selection pane="topRight" activeCell="E1" sqref="E1"/>
      <selection pane="bottomLeft" activeCell="A4" sqref="A4"/>
      <selection pane="bottomRight" activeCell="HT10" sqref="HT10"/>
    </sheetView>
  </sheetViews>
  <sheetFormatPr baseColWidth="10" defaultColWidth="3.140625" defaultRowHeight="15" x14ac:dyDescent="0"/>
  <cols>
    <col min="1" max="1" width="15" style="95" customWidth="1"/>
    <col min="2" max="2" width="31.5703125" style="96" customWidth="1"/>
    <col min="3" max="4" width="4.85546875" style="95" customWidth="1"/>
    <col min="5" max="5" width="3.42578125" style="99" customWidth="1"/>
    <col min="6" max="10" width="3.140625" style="97" customWidth="1"/>
    <col min="11" max="11" width="3.140625" style="98" customWidth="1"/>
    <col min="12" max="12" width="3.140625" style="99" customWidth="1"/>
    <col min="13" max="14" width="3.140625" style="97" customWidth="1"/>
    <col min="15" max="15" width="3.140625" style="98" customWidth="1"/>
    <col min="16" max="16" width="3.140625" style="99" customWidth="1"/>
    <col min="17" max="20" width="3.140625" style="97" customWidth="1"/>
    <col min="21" max="21" width="3.140625" style="98" customWidth="1"/>
    <col min="22" max="22" width="3.140625" style="99" customWidth="1"/>
    <col min="23" max="27" width="3.140625" style="97" customWidth="1"/>
    <col min="28" max="28" width="3.140625" style="98" customWidth="1"/>
    <col min="29" max="29" width="3.140625" style="99" customWidth="1"/>
    <col min="30" max="33" width="3.140625" style="97" customWidth="1"/>
    <col min="34" max="34" width="3.140625" style="98" customWidth="1"/>
    <col min="35" max="35" width="3.140625" style="99" customWidth="1"/>
    <col min="36" max="40" width="3.140625" style="97" customWidth="1"/>
    <col min="41" max="41" width="3.140625" style="98" customWidth="1"/>
    <col min="42" max="42" width="3.140625" style="99" customWidth="1"/>
    <col min="43" max="44" width="3.140625" style="97" customWidth="1"/>
    <col min="45" max="45" width="3.140625" style="98" customWidth="1"/>
    <col min="46" max="46" width="3.140625" style="99" customWidth="1"/>
    <col min="47" max="50" width="3.140625" style="97" customWidth="1"/>
    <col min="51" max="51" width="3.140625" style="98" customWidth="1"/>
    <col min="52" max="52" width="3.140625" style="99" customWidth="1"/>
    <col min="53" max="57" width="3.140625" style="97" customWidth="1"/>
    <col min="58" max="58" width="3.140625" style="98" customWidth="1"/>
    <col min="59" max="59" width="3.140625" style="99" customWidth="1"/>
    <col min="60" max="62" width="3.140625" style="97" customWidth="1"/>
    <col min="63" max="63" width="3.140625" style="98" customWidth="1"/>
    <col min="64" max="64" width="3.140625" style="99" customWidth="1"/>
    <col min="65" max="70" width="3.140625" style="97" customWidth="1"/>
    <col min="71" max="71" width="3.140625" style="98" customWidth="1"/>
    <col min="72" max="76" width="3.140625" style="95" customWidth="1"/>
    <col min="77" max="77" width="3.140625" style="99" customWidth="1"/>
    <col min="78" max="81" width="3.140625" style="97" customWidth="1"/>
    <col min="82" max="82" width="3.140625" style="98" customWidth="1"/>
    <col min="83" max="87" width="3.140625" style="95" customWidth="1"/>
    <col min="88" max="88" width="3.140625" style="99" customWidth="1"/>
    <col min="89" max="89" width="3.140625" style="97" customWidth="1"/>
    <col min="90" max="90" width="3.140625" style="98" customWidth="1"/>
    <col min="91" max="93" width="3.140625" style="95" customWidth="1"/>
    <col min="94" max="94" width="3.140625" style="99" customWidth="1"/>
    <col min="95" max="97" width="3.140625" style="97" customWidth="1"/>
    <col min="98" max="98" width="3.140625" style="98" customWidth="1"/>
    <col min="99" max="99" width="3.140625" style="99" customWidth="1"/>
    <col min="100" max="103" width="3.140625" style="97" customWidth="1"/>
    <col min="104" max="104" width="3.140625" style="98" customWidth="1"/>
    <col min="105" max="105" width="3.140625" style="99" customWidth="1"/>
    <col min="106" max="108" width="3.140625" style="97" customWidth="1"/>
    <col min="109" max="109" width="3.140625" style="98" customWidth="1"/>
    <col min="110" max="110" width="3.140625" style="99" customWidth="1"/>
    <col min="111" max="114" width="3.140625" style="97" customWidth="1"/>
    <col min="115" max="115" width="3.140625" style="98" customWidth="1"/>
    <col min="116" max="116" width="3.140625" style="99" customWidth="1"/>
    <col min="117" max="120" width="3.140625" style="97" customWidth="1"/>
    <col min="121" max="121" width="3.140625" style="98" customWidth="1"/>
    <col min="122" max="122" width="3.140625" style="99" customWidth="1"/>
    <col min="123" max="126" width="3.140625" style="97" customWidth="1"/>
    <col min="127" max="127" width="3.140625" style="98" customWidth="1"/>
    <col min="128" max="128" width="3.140625" style="99" customWidth="1"/>
    <col min="129" max="132" width="3.140625" style="97" customWidth="1"/>
    <col min="133" max="133" width="3.140625" style="98" customWidth="1"/>
    <col min="134" max="134" width="3.140625" style="99" customWidth="1"/>
    <col min="135" max="139" width="3.140625" style="97" customWidth="1"/>
    <col min="140" max="140" width="3.140625" style="99" customWidth="1"/>
    <col min="141" max="155" width="3.140625" style="97" customWidth="1"/>
    <col min="156" max="156" width="3.140625" style="127" customWidth="1"/>
    <col min="157" max="161" width="3.140625" style="95" customWidth="1"/>
    <col min="162" max="162" width="3.140625" style="99" customWidth="1"/>
    <col min="163" max="165" width="3.140625" style="97" customWidth="1"/>
    <col min="166" max="166" width="3.140625" style="99" customWidth="1"/>
    <col min="167" max="167" width="3.140625" style="97" customWidth="1"/>
    <col min="168" max="168" width="3.140625" style="98" customWidth="1"/>
    <col min="169" max="169" width="3.140625" style="99" customWidth="1"/>
    <col min="170" max="173" width="3.140625" style="97" customWidth="1"/>
    <col min="174" max="174" width="3.140625" style="99" customWidth="1"/>
    <col min="175" max="177" width="3.140625" style="97" customWidth="1"/>
    <col min="178" max="178" width="3.140625" style="98" customWidth="1"/>
    <col min="179" max="185" width="3.140625" style="97" customWidth="1"/>
    <col min="186" max="186" width="3.140625" style="99" customWidth="1"/>
    <col min="187" max="189" width="3.140625" style="97" customWidth="1"/>
    <col min="190" max="190" width="3.140625" style="99" customWidth="1"/>
    <col min="191" max="192" width="3.140625" style="97" customWidth="1"/>
    <col min="193" max="193" width="3.140625" style="98" customWidth="1"/>
    <col min="194" max="195" width="3.140625" style="97" customWidth="1"/>
    <col min="196" max="196" width="3.140625" style="98" customWidth="1"/>
    <col min="197" max="198" width="3.140625" style="97" customWidth="1"/>
    <col min="199" max="199" width="3.140625" style="98" customWidth="1"/>
    <col min="200" max="202" width="3.140625" style="97" customWidth="1"/>
    <col min="203" max="203" width="3.140625" style="99" customWidth="1"/>
    <col min="204" max="207" width="3.140625" style="97" customWidth="1"/>
    <col min="208" max="208" width="3.28515625" style="99" bestFit="1" customWidth="1"/>
    <col min="209" max="213" width="3.28515625" style="97" bestFit="1" customWidth="1"/>
    <col min="214" max="214" width="3.28515625" style="99" bestFit="1" customWidth="1"/>
    <col min="215" max="225" width="3.28515625" style="97" bestFit="1" customWidth="1"/>
    <col min="226" max="226" width="3.28515625" style="99" bestFit="1" customWidth="1"/>
    <col min="227" max="227" width="3.28515625" style="97" bestFit="1" customWidth="1"/>
    <col min="228" max="228" width="3.28515625" style="128" bestFit="1" customWidth="1"/>
    <col min="229" max="229" width="3.28515625" style="97" bestFit="1" customWidth="1"/>
    <col min="230" max="230" width="3.28515625" style="100" bestFit="1" customWidth="1"/>
    <col min="231" max="233" width="3.28515625" style="97" bestFit="1" customWidth="1"/>
    <col min="234" max="234" width="3.28515625" style="98" bestFit="1" customWidth="1"/>
    <col min="235" max="235" width="3.28515625" style="97" bestFit="1" customWidth="1"/>
    <col min="236" max="236" width="3.28515625" style="98" bestFit="1" customWidth="1"/>
    <col min="237" max="238" width="3.28515625" style="97" bestFit="1" customWidth="1"/>
    <col min="239" max="239" width="3.28515625" style="98" bestFit="1" customWidth="1"/>
    <col min="240" max="241" width="3.28515625" style="97" bestFit="1" customWidth="1"/>
    <col min="242" max="242" width="3.28515625" style="98" bestFit="1" customWidth="1"/>
    <col min="243" max="243" width="3.28515625" style="97" bestFit="1" customWidth="1"/>
    <col min="244" max="244" width="3.28515625" style="98" bestFit="1" customWidth="1"/>
    <col min="245" max="245" width="3.28515625" style="97" bestFit="1" customWidth="1"/>
    <col min="246" max="246" width="3.28515625" style="98" bestFit="1" customWidth="1"/>
    <col min="247" max="257" width="3.28515625" style="97" bestFit="1" customWidth="1"/>
    <col min="258" max="258" width="3.28515625" style="99" bestFit="1" customWidth="1"/>
    <col min="259" max="273" width="3.28515625" style="95" bestFit="1" customWidth="1"/>
    <col min="274" max="16384" width="3.140625" style="95"/>
  </cols>
  <sheetData>
    <row r="1" spans="1:457">
      <c r="C1" s="95" t="s">
        <v>0</v>
      </c>
      <c r="E1" s="135" t="s">
        <v>1</v>
      </c>
      <c r="AI1" s="135" t="s">
        <v>2</v>
      </c>
      <c r="BL1" s="135" t="s">
        <v>3</v>
      </c>
      <c r="BT1" s="136" t="s">
        <v>4</v>
      </c>
      <c r="CJ1" s="135" t="s">
        <v>5</v>
      </c>
      <c r="CP1" s="135" t="s">
        <v>6</v>
      </c>
      <c r="DF1" s="135" t="s">
        <v>7</v>
      </c>
      <c r="EN1" s="137" t="s">
        <v>225</v>
      </c>
      <c r="EO1" s="138"/>
      <c r="EP1" s="138"/>
      <c r="EZ1" s="137" t="s">
        <v>8</v>
      </c>
      <c r="FR1" s="135"/>
      <c r="FW1" s="138" t="s">
        <v>9</v>
      </c>
      <c r="GH1" s="135" t="s">
        <v>475</v>
      </c>
      <c r="GR1" s="138" t="s">
        <v>452</v>
      </c>
      <c r="GZ1" s="135" t="s">
        <v>10</v>
      </c>
      <c r="II1" s="138" t="s">
        <v>517</v>
      </c>
      <c r="IO1" s="135" t="s">
        <v>505</v>
      </c>
      <c r="IP1" s="138"/>
      <c r="IQ1" s="138"/>
      <c r="IR1" s="138"/>
      <c r="IS1" s="138"/>
      <c r="IT1" s="138"/>
      <c r="IX1" s="135" t="s">
        <v>522</v>
      </c>
      <c r="JF1" s="135" t="s">
        <v>11</v>
      </c>
      <c r="JK1" s="135" t="s">
        <v>12</v>
      </c>
    </row>
    <row r="2" spans="1:457" s="96" customFormat="1" ht="60" customHeight="1">
      <c r="C2" s="101" t="s">
        <v>13</v>
      </c>
      <c r="D2" s="101"/>
      <c r="E2" s="102" t="s">
        <v>14</v>
      </c>
      <c r="F2" s="103"/>
      <c r="G2" s="103"/>
      <c r="H2" s="103"/>
      <c r="I2" s="103"/>
      <c r="J2" s="103"/>
      <c r="K2" s="104"/>
      <c r="L2" s="102" t="s">
        <v>15</v>
      </c>
      <c r="M2" s="103"/>
      <c r="N2" s="103"/>
      <c r="O2" s="104"/>
      <c r="P2" s="102" t="s">
        <v>16</v>
      </c>
      <c r="Q2" s="103"/>
      <c r="R2" s="103"/>
      <c r="S2" s="103"/>
      <c r="T2" s="103"/>
      <c r="U2" s="104"/>
      <c r="V2" s="102" t="s">
        <v>17</v>
      </c>
      <c r="W2" s="103"/>
      <c r="X2" s="103"/>
      <c r="Y2" s="103"/>
      <c r="Z2" s="103"/>
      <c r="AA2" s="103"/>
      <c r="AB2" s="104"/>
      <c r="AC2" s="102" t="s">
        <v>18</v>
      </c>
      <c r="AD2" s="103"/>
      <c r="AE2" s="103"/>
      <c r="AF2" s="103"/>
      <c r="AG2" s="103"/>
      <c r="AH2" s="104"/>
      <c r="AI2" s="102" t="s">
        <v>14</v>
      </c>
      <c r="AJ2" s="103"/>
      <c r="AK2" s="103"/>
      <c r="AL2" s="103"/>
      <c r="AM2" s="103"/>
      <c r="AN2" s="103"/>
      <c r="AO2" s="104"/>
      <c r="AP2" s="102" t="s">
        <v>15</v>
      </c>
      <c r="AQ2" s="103"/>
      <c r="AR2" s="103"/>
      <c r="AS2" s="104"/>
      <c r="AT2" s="102" t="s">
        <v>16</v>
      </c>
      <c r="AU2" s="103"/>
      <c r="AV2" s="103"/>
      <c r="AW2" s="103"/>
      <c r="AX2" s="103"/>
      <c r="AY2" s="104"/>
      <c r="AZ2" s="102" t="s">
        <v>17</v>
      </c>
      <c r="BA2" s="103"/>
      <c r="BB2" s="103"/>
      <c r="BC2" s="103"/>
      <c r="BD2" s="103"/>
      <c r="BE2" s="103"/>
      <c r="BF2" s="104"/>
      <c r="BG2" s="102" t="s">
        <v>18</v>
      </c>
      <c r="BH2" s="103"/>
      <c r="BI2" s="103"/>
      <c r="BJ2" s="103"/>
      <c r="BK2" s="104"/>
      <c r="BL2" s="102" t="s">
        <v>19</v>
      </c>
      <c r="BM2" s="103"/>
      <c r="BN2" s="103"/>
      <c r="BO2" s="103"/>
      <c r="BP2" s="103"/>
      <c r="BQ2" s="103"/>
      <c r="BR2" s="103"/>
      <c r="BS2" s="104"/>
      <c r="BT2" s="105" t="s">
        <v>20</v>
      </c>
      <c r="BU2" s="105"/>
      <c r="BV2" s="105"/>
      <c r="BW2" s="105"/>
      <c r="BX2" s="105"/>
      <c r="BY2" s="102" t="s">
        <v>21</v>
      </c>
      <c r="BZ2" s="103"/>
      <c r="CA2" s="103"/>
      <c r="CB2" s="103"/>
      <c r="CC2" s="103"/>
      <c r="CD2" s="104"/>
      <c r="CE2" s="105" t="s">
        <v>22</v>
      </c>
      <c r="CF2" s="105"/>
      <c r="CG2" s="105"/>
      <c r="CH2" s="105"/>
      <c r="CI2" s="105"/>
      <c r="CJ2" s="102" t="s">
        <v>21</v>
      </c>
      <c r="CK2" s="103"/>
      <c r="CL2" s="104"/>
      <c r="CM2" s="102" t="s">
        <v>22</v>
      </c>
      <c r="CN2" s="105"/>
      <c r="CO2" s="105"/>
      <c r="CP2" s="102" t="s">
        <v>23</v>
      </c>
      <c r="CQ2" s="103"/>
      <c r="CR2" s="103"/>
      <c r="CS2" s="103"/>
      <c r="CT2" s="104"/>
      <c r="CU2" s="102" t="s">
        <v>21</v>
      </c>
      <c r="CV2" s="103"/>
      <c r="CW2" s="103"/>
      <c r="CX2" s="103"/>
      <c r="CY2" s="103"/>
      <c r="CZ2" s="104"/>
      <c r="DA2" s="102" t="s">
        <v>24</v>
      </c>
      <c r="DB2" s="103"/>
      <c r="DC2" s="103"/>
      <c r="DD2" s="103"/>
      <c r="DE2" s="104"/>
      <c r="DF2" s="102" t="s">
        <v>25</v>
      </c>
      <c r="DG2" s="103"/>
      <c r="DH2" s="103"/>
      <c r="DI2" s="103"/>
      <c r="DJ2" s="103"/>
      <c r="DK2" s="104"/>
      <c r="DL2" s="102" t="s">
        <v>26</v>
      </c>
      <c r="DM2" s="103"/>
      <c r="DN2" s="103"/>
      <c r="DO2" s="103"/>
      <c r="DP2" s="103"/>
      <c r="DQ2" s="104"/>
      <c r="DR2" s="102" t="s">
        <v>27</v>
      </c>
      <c r="DS2" s="103"/>
      <c r="DT2" s="103"/>
      <c r="DU2" s="103"/>
      <c r="DV2" s="103"/>
      <c r="DW2" s="104"/>
      <c r="DX2" s="102" t="s">
        <v>28</v>
      </c>
      <c r="DY2" s="103"/>
      <c r="DZ2" s="103"/>
      <c r="EA2" s="103"/>
      <c r="EB2" s="103"/>
      <c r="EC2" s="104"/>
      <c r="ED2" s="102" t="s">
        <v>29</v>
      </c>
      <c r="EE2" s="103"/>
      <c r="EF2" s="103"/>
      <c r="EG2" s="103"/>
      <c r="EH2" s="103"/>
      <c r="EI2" s="103"/>
      <c r="EJ2" s="102" t="s">
        <v>30</v>
      </c>
      <c r="EK2" s="103"/>
      <c r="EL2" s="103"/>
      <c r="EM2" s="103"/>
      <c r="EN2" s="103" t="s">
        <v>489</v>
      </c>
      <c r="EO2" s="103"/>
      <c r="EP2" s="103"/>
      <c r="EQ2" s="103"/>
      <c r="ER2" s="103"/>
      <c r="ES2" s="103"/>
      <c r="ET2" s="103"/>
      <c r="EU2" s="106"/>
      <c r="EV2" s="106"/>
      <c r="EW2" s="106"/>
      <c r="EX2" s="106"/>
      <c r="EY2" s="106"/>
      <c r="EZ2" s="107" t="s">
        <v>31</v>
      </c>
      <c r="FA2" s="103"/>
      <c r="FB2" s="103"/>
      <c r="FC2" s="103"/>
      <c r="FD2" s="103"/>
      <c r="FE2" s="104"/>
      <c r="FF2" s="102" t="s">
        <v>32</v>
      </c>
      <c r="FG2" s="103"/>
      <c r="FH2" s="103"/>
      <c r="FI2" s="103"/>
      <c r="FJ2" s="102" t="s">
        <v>33</v>
      </c>
      <c r="FK2" s="103"/>
      <c r="FL2" s="104"/>
      <c r="FM2" s="102" t="s">
        <v>34</v>
      </c>
      <c r="FN2" s="103"/>
      <c r="FO2" s="103"/>
      <c r="FP2" s="103"/>
      <c r="FQ2" s="104"/>
      <c r="FR2" s="102" t="s">
        <v>35</v>
      </c>
      <c r="FS2" s="103"/>
      <c r="FT2" s="103"/>
      <c r="FU2" s="103"/>
      <c r="FV2" s="104"/>
      <c r="FW2" s="103" t="s">
        <v>37</v>
      </c>
      <c r="FX2" s="103"/>
      <c r="FY2" s="103"/>
      <c r="FZ2" s="103"/>
      <c r="GA2" s="103"/>
      <c r="GB2" s="103"/>
      <c r="GC2" s="103"/>
      <c r="GD2" s="103" t="s">
        <v>38</v>
      </c>
      <c r="GE2" s="103"/>
      <c r="GF2" s="103"/>
      <c r="GG2" s="103"/>
      <c r="GH2" s="104" t="s">
        <v>482</v>
      </c>
      <c r="GI2" s="108"/>
      <c r="GJ2" s="108"/>
      <c r="GK2" s="108"/>
      <c r="GL2" s="108" t="s">
        <v>476</v>
      </c>
      <c r="GM2" s="108"/>
      <c r="GN2" s="108"/>
      <c r="GO2" s="108" t="s">
        <v>484</v>
      </c>
      <c r="GP2" s="108"/>
      <c r="GQ2" s="108"/>
      <c r="GR2" s="108" t="s">
        <v>496</v>
      </c>
      <c r="GS2" s="108"/>
      <c r="GT2" s="108"/>
      <c r="GU2" s="108" t="s">
        <v>36</v>
      </c>
      <c r="GV2" s="108"/>
      <c r="GW2" s="108"/>
      <c r="GX2" s="108"/>
      <c r="GY2" s="108"/>
      <c r="GZ2" s="108" t="s">
        <v>39</v>
      </c>
      <c r="HA2" s="108"/>
      <c r="HB2" s="108"/>
      <c r="HC2" s="108"/>
      <c r="HD2" s="108"/>
      <c r="HE2" s="108"/>
      <c r="HF2" s="108" t="s">
        <v>40</v>
      </c>
      <c r="HG2" s="108"/>
      <c r="HH2" s="108"/>
      <c r="HI2" s="108"/>
      <c r="HJ2" s="108"/>
      <c r="HK2" s="108"/>
      <c r="HL2" s="108"/>
      <c r="HM2" s="108"/>
      <c r="HN2" s="108" t="s">
        <v>492</v>
      </c>
      <c r="HO2" s="108"/>
      <c r="HP2" s="108"/>
      <c r="HQ2" s="102"/>
      <c r="HR2" s="103" t="s">
        <v>41</v>
      </c>
      <c r="HS2" s="103"/>
      <c r="HT2" s="103"/>
      <c r="HU2" s="103"/>
      <c r="HV2" s="109" t="s">
        <v>42</v>
      </c>
      <c r="HW2" s="103" t="s">
        <v>463</v>
      </c>
      <c r="HX2" s="103"/>
      <c r="HY2" s="103"/>
      <c r="HZ2" s="104"/>
      <c r="IA2" s="102" t="s">
        <v>468</v>
      </c>
      <c r="IB2" s="104"/>
      <c r="IC2" s="102" t="s">
        <v>471</v>
      </c>
      <c r="ID2" s="103"/>
      <c r="IE2" s="104"/>
      <c r="IF2" s="102" t="s">
        <v>497</v>
      </c>
      <c r="IG2" s="103"/>
      <c r="IH2" s="104"/>
      <c r="II2" s="102" t="s">
        <v>516</v>
      </c>
      <c r="IJ2" s="103"/>
      <c r="IK2" s="103" t="s">
        <v>519</v>
      </c>
      <c r="IL2" s="103"/>
      <c r="IM2" s="106"/>
      <c r="IN2" s="106"/>
      <c r="IO2" s="102" t="s">
        <v>506</v>
      </c>
      <c r="IP2" s="103"/>
      <c r="IQ2" s="103"/>
      <c r="IR2" s="103"/>
      <c r="IS2" s="103"/>
      <c r="IT2" s="103" t="s">
        <v>509</v>
      </c>
      <c r="IU2" s="103"/>
      <c r="IV2" s="103"/>
      <c r="IW2" s="106"/>
      <c r="IX2" s="102" t="s">
        <v>526</v>
      </c>
      <c r="IY2" s="103"/>
      <c r="IZ2" s="103"/>
      <c r="JA2" s="105" t="s">
        <v>44</v>
      </c>
      <c r="JB2" s="105"/>
      <c r="JC2" s="105" t="s">
        <v>523</v>
      </c>
      <c r="JD2" s="105"/>
      <c r="JE2" s="105"/>
      <c r="JF2" s="105" t="s">
        <v>45</v>
      </c>
      <c r="JG2" s="105"/>
      <c r="JH2" s="105"/>
      <c r="JK2" s="105" t="s">
        <v>461</v>
      </c>
      <c r="JL2" s="105"/>
      <c r="JM2" s="105"/>
      <c r="JN2" s="95"/>
      <c r="JO2" s="95"/>
      <c r="JP2" s="95"/>
      <c r="JQ2" s="95"/>
      <c r="JR2" s="95"/>
      <c r="JS2" s="95"/>
      <c r="JT2" s="95"/>
      <c r="JU2" s="95"/>
      <c r="JV2" s="95"/>
      <c r="JW2" s="95"/>
      <c r="JX2" s="95"/>
      <c r="JY2" s="95"/>
      <c r="JZ2" s="95"/>
      <c r="KA2" s="95"/>
      <c r="KB2" s="95"/>
      <c r="KC2" s="95"/>
      <c r="KD2" s="95"/>
      <c r="KE2" s="95"/>
      <c r="KF2" s="95"/>
      <c r="KG2" s="95"/>
      <c r="KH2" s="95"/>
      <c r="KI2" s="95"/>
      <c r="KJ2" s="95"/>
      <c r="KK2" s="95"/>
      <c r="KL2" s="95"/>
      <c r="KM2" s="95"/>
      <c r="KN2" s="95"/>
      <c r="KO2" s="95"/>
      <c r="KP2" s="95"/>
      <c r="KQ2" s="95"/>
      <c r="KR2" s="95"/>
      <c r="KS2" s="95"/>
      <c r="KT2" s="95"/>
      <c r="KU2" s="95"/>
      <c r="KV2" s="95"/>
      <c r="KW2" s="95"/>
      <c r="KX2" s="95"/>
      <c r="KY2" s="95"/>
      <c r="KZ2" s="95"/>
      <c r="LA2" s="95"/>
      <c r="LB2" s="95"/>
      <c r="LC2" s="95"/>
      <c r="LD2" s="95"/>
      <c r="LE2" s="95"/>
      <c r="LF2" s="95"/>
      <c r="LG2" s="95"/>
      <c r="LH2" s="95"/>
      <c r="LI2" s="95"/>
      <c r="LJ2" s="95"/>
      <c r="LK2" s="95"/>
      <c r="LL2" s="95"/>
      <c r="LM2" s="95"/>
      <c r="LN2" s="95"/>
      <c r="LO2" s="95"/>
      <c r="LP2" s="95"/>
      <c r="LQ2" s="95"/>
      <c r="LR2" s="95"/>
      <c r="LS2" s="95"/>
      <c r="LT2" s="95"/>
      <c r="LU2" s="95"/>
      <c r="LV2" s="95"/>
      <c r="LW2" s="95"/>
      <c r="LX2" s="95"/>
      <c r="LY2" s="95"/>
      <c r="LZ2" s="95"/>
      <c r="MA2" s="95"/>
      <c r="MB2" s="95"/>
      <c r="MC2" s="95"/>
      <c r="MD2" s="95"/>
      <c r="ME2" s="95"/>
      <c r="MF2" s="95"/>
      <c r="MG2" s="95"/>
      <c r="MH2" s="95"/>
      <c r="MI2" s="95"/>
      <c r="MJ2" s="95"/>
      <c r="MK2" s="95"/>
      <c r="ML2" s="95"/>
      <c r="MM2" s="95"/>
      <c r="MN2" s="95"/>
      <c r="MO2" s="95"/>
      <c r="MP2" s="95"/>
      <c r="MQ2" s="95"/>
      <c r="MR2" s="95"/>
      <c r="MS2" s="95"/>
      <c r="MT2" s="95"/>
      <c r="MU2" s="95"/>
      <c r="MV2" s="95"/>
      <c r="MW2" s="95"/>
      <c r="MX2" s="95"/>
      <c r="MY2" s="95"/>
      <c r="MZ2" s="95"/>
      <c r="NA2" s="95"/>
      <c r="NB2" s="95"/>
      <c r="NC2" s="95"/>
      <c r="ND2" s="95"/>
      <c r="NE2" s="95"/>
      <c r="NF2" s="95"/>
      <c r="NG2" s="95"/>
      <c r="NH2" s="95"/>
      <c r="NI2" s="95"/>
      <c r="NJ2" s="95"/>
      <c r="NK2" s="95"/>
      <c r="NL2" s="95"/>
      <c r="NM2" s="95"/>
      <c r="NN2" s="95"/>
      <c r="NO2" s="95"/>
      <c r="NP2" s="95"/>
      <c r="NQ2" s="95"/>
      <c r="NR2" s="95"/>
      <c r="NS2" s="95"/>
      <c r="NT2" s="95"/>
      <c r="NU2" s="95"/>
      <c r="NV2" s="95"/>
      <c r="NW2" s="95"/>
      <c r="NX2" s="95"/>
      <c r="NY2" s="95"/>
      <c r="NZ2" s="95"/>
      <c r="OA2" s="95"/>
      <c r="OB2" s="95"/>
      <c r="OC2" s="95"/>
      <c r="OD2" s="95"/>
      <c r="OE2" s="95"/>
      <c r="OF2" s="95"/>
      <c r="OG2" s="95"/>
      <c r="OH2" s="95"/>
      <c r="OI2" s="95"/>
      <c r="OJ2" s="95"/>
      <c r="OK2" s="95"/>
      <c r="OL2" s="95"/>
      <c r="OM2" s="95"/>
      <c r="ON2" s="95"/>
      <c r="OO2" s="95"/>
      <c r="OP2" s="95"/>
      <c r="OQ2" s="95"/>
      <c r="OR2" s="95"/>
      <c r="OS2" s="95"/>
      <c r="OT2" s="95"/>
      <c r="OU2" s="95"/>
      <c r="OV2" s="95"/>
      <c r="OW2" s="95"/>
      <c r="OX2" s="95"/>
      <c r="OY2" s="95"/>
      <c r="OZ2" s="95"/>
      <c r="PA2" s="95"/>
      <c r="PB2" s="95"/>
      <c r="PC2" s="95"/>
      <c r="PD2" s="95"/>
      <c r="PE2" s="95"/>
      <c r="PF2" s="95"/>
      <c r="PG2" s="95"/>
      <c r="PH2" s="95"/>
      <c r="PI2" s="95"/>
      <c r="PJ2" s="95"/>
      <c r="PK2" s="95"/>
      <c r="PL2" s="95"/>
      <c r="PM2" s="95"/>
      <c r="PN2" s="95"/>
      <c r="PO2" s="95"/>
      <c r="PP2" s="95"/>
      <c r="PQ2" s="95"/>
      <c r="PR2" s="95"/>
      <c r="PS2" s="95"/>
      <c r="PT2" s="95"/>
      <c r="PU2" s="95"/>
      <c r="PV2" s="95"/>
      <c r="PW2" s="95"/>
      <c r="PX2" s="95"/>
      <c r="PY2" s="95"/>
      <c r="PZ2" s="95"/>
      <c r="QA2" s="95"/>
      <c r="QB2" s="95"/>
      <c r="QC2" s="95"/>
      <c r="QD2" s="95"/>
      <c r="QE2" s="95"/>
      <c r="QF2" s="95"/>
      <c r="QG2" s="95"/>
      <c r="QH2" s="95"/>
      <c r="QI2" s="95"/>
      <c r="QJ2" s="95"/>
      <c r="QK2" s="95"/>
      <c r="QL2" s="95"/>
      <c r="QM2" s="95"/>
      <c r="QN2" s="95"/>
      <c r="QO2" s="95"/>
    </row>
    <row r="3" spans="1:457" s="110" customFormat="1" ht="188" customHeight="1">
      <c r="C3" s="139" t="s">
        <v>46</v>
      </c>
      <c r="D3" s="140"/>
      <c r="E3" s="111" t="s">
        <v>47</v>
      </c>
      <c r="F3" s="112" t="s">
        <v>48</v>
      </c>
      <c r="G3" s="112" t="s">
        <v>49</v>
      </c>
      <c r="H3" s="112" t="s">
        <v>50</v>
      </c>
      <c r="I3" s="112" t="s">
        <v>51</v>
      </c>
      <c r="J3" s="112" t="s">
        <v>52</v>
      </c>
      <c r="K3" s="113" t="s">
        <v>53</v>
      </c>
      <c r="L3" s="111" t="s">
        <v>51</v>
      </c>
      <c r="M3" s="112" t="s">
        <v>54</v>
      </c>
      <c r="N3" s="112" t="s">
        <v>49</v>
      </c>
      <c r="O3" s="113" t="s">
        <v>53</v>
      </c>
      <c r="P3" s="111" t="s">
        <v>49</v>
      </c>
      <c r="Q3" s="112" t="s">
        <v>55</v>
      </c>
      <c r="R3" s="112" t="s">
        <v>56</v>
      </c>
      <c r="S3" s="112" t="s">
        <v>57</v>
      </c>
      <c r="T3" s="112" t="s">
        <v>58</v>
      </c>
      <c r="U3" s="113" t="s">
        <v>53</v>
      </c>
      <c r="V3" s="111" t="s">
        <v>49</v>
      </c>
      <c r="W3" s="112" t="s">
        <v>54</v>
      </c>
      <c r="X3" s="112" t="s">
        <v>56</v>
      </c>
      <c r="Y3" s="112" t="s">
        <v>57</v>
      </c>
      <c r="Z3" s="112" t="s">
        <v>51</v>
      </c>
      <c r="AA3" s="112" t="s">
        <v>59</v>
      </c>
      <c r="AB3" s="113" t="s">
        <v>53</v>
      </c>
      <c r="AC3" s="111" t="s">
        <v>49</v>
      </c>
      <c r="AD3" s="112" t="s">
        <v>54</v>
      </c>
      <c r="AE3" s="112" t="s">
        <v>51</v>
      </c>
      <c r="AF3" s="112" t="s">
        <v>56</v>
      </c>
      <c r="AG3" s="112" t="s">
        <v>57</v>
      </c>
      <c r="AH3" s="113" t="s">
        <v>53</v>
      </c>
      <c r="AI3" s="111" t="s">
        <v>47</v>
      </c>
      <c r="AJ3" s="112" t="s">
        <v>48</v>
      </c>
      <c r="AK3" s="112" t="s">
        <v>49</v>
      </c>
      <c r="AL3" s="112" t="s">
        <v>50</v>
      </c>
      <c r="AM3" s="112" t="s">
        <v>51</v>
      </c>
      <c r="AN3" s="112" t="s">
        <v>52</v>
      </c>
      <c r="AO3" s="113" t="s">
        <v>53</v>
      </c>
      <c r="AP3" s="111" t="s">
        <v>51</v>
      </c>
      <c r="AQ3" s="112" t="s">
        <v>54</v>
      </c>
      <c r="AR3" s="112" t="s">
        <v>49</v>
      </c>
      <c r="AS3" s="113" t="s">
        <v>53</v>
      </c>
      <c r="AT3" s="111" t="s">
        <v>49</v>
      </c>
      <c r="AU3" s="112" t="s">
        <v>55</v>
      </c>
      <c r="AV3" s="112" t="s">
        <v>56</v>
      </c>
      <c r="AW3" s="112" t="s">
        <v>57</v>
      </c>
      <c r="AX3" s="112" t="s">
        <v>58</v>
      </c>
      <c r="AY3" s="113" t="s">
        <v>53</v>
      </c>
      <c r="AZ3" s="111" t="s">
        <v>49</v>
      </c>
      <c r="BA3" s="112" t="s">
        <v>60</v>
      </c>
      <c r="BB3" s="112" t="s">
        <v>51</v>
      </c>
      <c r="BC3" s="112" t="s">
        <v>56</v>
      </c>
      <c r="BD3" s="112" t="s">
        <v>57</v>
      </c>
      <c r="BE3" s="112" t="s">
        <v>59</v>
      </c>
      <c r="BF3" s="113" t="s">
        <v>53</v>
      </c>
      <c r="BG3" s="111" t="s">
        <v>49</v>
      </c>
      <c r="BH3" s="112" t="s">
        <v>60</v>
      </c>
      <c r="BI3" s="112" t="s">
        <v>56</v>
      </c>
      <c r="BJ3" s="112" t="s">
        <v>57</v>
      </c>
      <c r="BK3" s="113" t="s">
        <v>53</v>
      </c>
      <c r="BL3" s="111" t="s">
        <v>61</v>
      </c>
      <c r="BM3" s="112" t="s">
        <v>62</v>
      </c>
      <c r="BN3" s="112" t="s">
        <v>63</v>
      </c>
      <c r="BO3" s="112" t="s">
        <v>64</v>
      </c>
      <c r="BP3" s="112" t="s">
        <v>65</v>
      </c>
      <c r="BQ3" s="112" t="s">
        <v>66</v>
      </c>
      <c r="BR3" s="112" t="s">
        <v>67</v>
      </c>
      <c r="BS3" s="113" t="s">
        <v>53</v>
      </c>
      <c r="BT3" s="110" t="s">
        <v>68</v>
      </c>
      <c r="BU3" s="110" t="s">
        <v>69</v>
      </c>
      <c r="BV3" s="110" t="s">
        <v>70</v>
      </c>
      <c r="BW3" s="110" t="s">
        <v>57</v>
      </c>
      <c r="BX3" s="110" t="s">
        <v>71</v>
      </c>
      <c r="BY3" s="111" t="s">
        <v>68</v>
      </c>
      <c r="BZ3" s="112" t="s">
        <v>72</v>
      </c>
      <c r="CA3" s="112" t="s">
        <v>69</v>
      </c>
      <c r="CB3" s="112" t="s">
        <v>70</v>
      </c>
      <c r="CC3" s="112" t="s">
        <v>57</v>
      </c>
      <c r="CD3" s="113" t="s">
        <v>71</v>
      </c>
      <c r="CE3" s="110" t="s">
        <v>68</v>
      </c>
      <c r="CF3" s="110" t="s">
        <v>69</v>
      </c>
      <c r="CG3" s="110" t="s">
        <v>70</v>
      </c>
      <c r="CH3" s="110" t="s">
        <v>57</v>
      </c>
      <c r="CI3" s="110" t="s">
        <v>71</v>
      </c>
      <c r="CJ3" s="110" t="s">
        <v>51</v>
      </c>
      <c r="CK3" s="110" t="s">
        <v>72</v>
      </c>
      <c r="CL3" s="110" t="s">
        <v>71</v>
      </c>
      <c r="CM3" s="110" t="s">
        <v>51</v>
      </c>
      <c r="CN3" s="110" t="s">
        <v>71</v>
      </c>
      <c r="CP3" s="110" t="s">
        <v>73</v>
      </c>
      <c r="CQ3" s="110" t="s">
        <v>74</v>
      </c>
      <c r="CR3" s="110" t="s">
        <v>70</v>
      </c>
      <c r="CS3" s="110" t="s">
        <v>75</v>
      </c>
      <c r="CT3" s="110" t="s">
        <v>76</v>
      </c>
      <c r="CU3" s="110" t="s">
        <v>73</v>
      </c>
      <c r="CV3" s="110" t="s">
        <v>77</v>
      </c>
      <c r="CW3" s="110" t="s">
        <v>74</v>
      </c>
      <c r="CX3" s="110" t="s">
        <v>78</v>
      </c>
      <c r="CY3" s="110" t="s">
        <v>75</v>
      </c>
      <c r="CZ3" s="110" t="s">
        <v>76</v>
      </c>
      <c r="DA3" s="110" t="s">
        <v>73</v>
      </c>
      <c r="DB3" s="110" t="s">
        <v>74</v>
      </c>
      <c r="DC3" s="110" t="s">
        <v>78</v>
      </c>
      <c r="DD3" s="110" t="s">
        <v>75</v>
      </c>
      <c r="DE3" s="110" t="s">
        <v>76</v>
      </c>
      <c r="DF3" s="110" t="s">
        <v>79</v>
      </c>
      <c r="DG3" s="110" t="s">
        <v>80</v>
      </c>
      <c r="DH3" s="110" t="s">
        <v>81</v>
      </c>
      <c r="DI3" s="110" t="s">
        <v>82</v>
      </c>
      <c r="DJ3" s="110" t="s">
        <v>83</v>
      </c>
      <c r="DK3" s="110" t="s">
        <v>71</v>
      </c>
      <c r="DL3" s="110" t="s">
        <v>84</v>
      </c>
      <c r="DM3" s="110" t="s">
        <v>85</v>
      </c>
      <c r="DN3" s="110" t="s">
        <v>86</v>
      </c>
      <c r="DO3" s="110" t="s">
        <v>87</v>
      </c>
      <c r="DP3" s="110" t="s">
        <v>88</v>
      </c>
      <c r="DQ3" s="110" t="s">
        <v>53</v>
      </c>
      <c r="DR3" s="110" t="s">
        <v>84</v>
      </c>
      <c r="DS3" s="110" t="s">
        <v>85</v>
      </c>
      <c r="DT3" s="110" t="s">
        <v>86</v>
      </c>
      <c r="DU3" s="110" t="s">
        <v>87</v>
      </c>
      <c r="DV3" s="110" t="s">
        <v>88</v>
      </c>
      <c r="DW3" s="110" t="s">
        <v>53</v>
      </c>
      <c r="DX3" s="110" t="s">
        <v>57</v>
      </c>
      <c r="DY3" s="110" t="s">
        <v>68</v>
      </c>
      <c r="DZ3" s="110" t="s">
        <v>89</v>
      </c>
      <c r="EA3" s="110" t="s">
        <v>90</v>
      </c>
      <c r="EB3" s="110" t="s">
        <v>91</v>
      </c>
      <c r="EC3" s="110" t="s">
        <v>53</v>
      </c>
      <c r="ED3" s="110" t="s">
        <v>57</v>
      </c>
      <c r="EE3" s="110" t="s">
        <v>68</v>
      </c>
      <c r="EF3" s="110" t="s">
        <v>89</v>
      </c>
      <c r="EG3" s="110" t="s">
        <v>90</v>
      </c>
      <c r="EH3" s="110" t="s">
        <v>91</v>
      </c>
      <c r="EI3" s="110" t="s">
        <v>53</v>
      </c>
      <c r="EJ3" s="110" t="s">
        <v>92</v>
      </c>
      <c r="EN3" s="110" t="s">
        <v>554</v>
      </c>
      <c r="EO3" s="110" t="s">
        <v>555</v>
      </c>
      <c r="EP3" s="110" t="s">
        <v>557</v>
      </c>
      <c r="EQ3" s="110" t="s">
        <v>556</v>
      </c>
      <c r="ER3" s="110" t="s">
        <v>490</v>
      </c>
      <c r="ES3" s="110" t="s">
        <v>562</v>
      </c>
      <c r="ET3" s="110" t="s">
        <v>491</v>
      </c>
      <c r="EZ3" s="114" t="s">
        <v>93</v>
      </c>
      <c r="FA3" s="110" t="s">
        <v>94</v>
      </c>
      <c r="FB3" s="110" t="s">
        <v>95</v>
      </c>
      <c r="FC3" s="110" t="s">
        <v>96</v>
      </c>
      <c r="FD3" s="110" t="s">
        <v>97</v>
      </c>
      <c r="FE3" s="110" t="s">
        <v>98</v>
      </c>
      <c r="FF3" s="110" t="s">
        <v>99</v>
      </c>
      <c r="FG3" s="110" t="s">
        <v>100</v>
      </c>
      <c r="FH3" s="110" t="s">
        <v>101</v>
      </c>
      <c r="FI3" s="110" t="s">
        <v>102</v>
      </c>
      <c r="FJ3" s="111" t="s">
        <v>103</v>
      </c>
      <c r="FK3" s="112" t="s">
        <v>104</v>
      </c>
      <c r="FL3" s="113" t="s">
        <v>105</v>
      </c>
      <c r="FM3" s="111" t="s">
        <v>103</v>
      </c>
      <c r="FN3" s="112" t="s">
        <v>104</v>
      </c>
      <c r="FO3" s="112" t="s">
        <v>105</v>
      </c>
      <c r="FP3" s="112" t="s">
        <v>106</v>
      </c>
      <c r="FQ3" s="112" t="s">
        <v>107</v>
      </c>
      <c r="FR3" s="111" t="s">
        <v>108</v>
      </c>
      <c r="FS3" s="112" t="s">
        <v>109</v>
      </c>
      <c r="FT3" s="112" t="s">
        <v>110</v>
      </c>
      <c r="FU3" s="112" t="s">
        <v>111</v>
      </c>
      <c r="FV3" s="113" t="s">
        <v>112</v>
      </c>
      <c r="FW3" s="112" t="s">
        <v>116</v>
      </c>
      <c r="FX3" s="112" t="s">
        <v>117</v>
      </c>
      <c r="FY3" s="112" t="s">
        <v>118</v>
      </c>
      <c r="FZ3" s="112" t="s">
        <v>119</v>
      </c>
      <c r="GA3" s="112" t="s">
        <v>120</v>
      </c>
      <c r="GB3" s="112" t="s">
        <v>121</v>
      </c>
      <c r="GC3" s="112" t="s">
        <v>122</v>
      </c>
      <c r="GD3" s="111" t="s">
        <v>123</v>
      </c>
      <c r="GE3" s="112" t="s">
        <v>124</v>
      </c>
      <c r="GF3" s="112" t="s">
        <v>125</v>
      </c>
      <c r="GG3" s="112" t="s">
        <v>126</v>
      </c>
      <c r="GH3" s="111" t="s">
        <v>477</v>
      </c>
      <c r="GI3" s="112" t="s">
        <v>478</v>
      </c>
      <c r="GJ3" s="112" t="s">
        <v>487</v>
      </c>
      <c r="GK3" s="113" t="s">
        <v>480</v>
      </c>
      <c r="GL3" s="112" t="s">
        <v>483</v>
      </c>
      <c r="GM3" s="112" t="s">
        <v>479</v>
      </c>
      <c r="GN3" s="113" t="s">
        <v>481</v>
      </c>
      <c r="GO3" s="110" t="s">
        <v>485</v>
      </c>
      <c r="GP3" s="112" t="s">
        <v>486</v>
      </c>
      <c r="GQ3" s="113" t="s">
        <v>488</v>
      </c>
      <c r="GR3" s="112" t="s">
        <v>493</v>
      </c>
      <c r="GS3" s="112" t="s">
        <v>494</v>
      </c>
      <c r="GT3" s="112" t="s">
        <v>495</v>
      </c>
      <c r="GU3" s="111" t="s">
        <v>113</v>
      </c>
      <c r="GV3" s="112" t="s">
        <v>114</v>
      </c>
      <c r="GW3" s="112" t="s">
        <v>115</v>
      </c>
      <c r="GX3" s="112" t="s">
        <v>454</v>
      </c>
      <c r="GY3" s="112" t="s">
        <v>456</v>
      </c>
      <c r="GZ3" s="111" t="s">
        <v>127</v>
      </c>
      <c r="HA3" s="112" t="s">
        <v>128</v>
      </c>
      <c r="HB3" s="112" t="s">
        <v>129</v>
      </c>
      <c r="HC3" s="112" t="s">
        <v>130</v>
      </c>
      <c r="HD3" s="112" t="s">
        <v>131</v>
      </c>
      <c r="HE3" s="112" t="s">
        <v>132</v>
      </c>
      <c r="HF3" s="111" t="s">
        <v>577</v>
      </c>
      <c r="HG3" s="112" t="s">
        <v>133</v>
      </c>
      <c r="HH3" s="112" t="s">
        <v>134</v>
      </c>
      <c r="HI3" s="112" t="s">
        <v>135</v>
      </c>
      <c r="HJ3" s="112" t="s">
        <v>136</v>
      </c>
      <c r="HK3" s="112" t="s">
        <v>137</v>
      </c>
      <c r="HL3" s="112" t="s">
        <v>467</v>
      </c>
      <c r="HM3" s="112" t="s">
        <v>138</v>
      </c>
      <c r="HN3" s="112" t="s">
        <v>501</v>
      </c>
      <c r="HO3" s="112" t="s">
        <v>529</v>
      </c>
      <c r="HP3" s="112" t="s">
        <v>530</v>
      </c>
      <c r="HQ3" s="112" t="s">
        <v>531</v>
      </c>
      <c r="HR3" s="111" t="s">
        <v>139</v>
      </c>
      <c r="HS3" s="112" t="s">
        <v>140</v>
      </c>
      <c r="HT3" s="116" t="s">
        <v>141</v>
      </c>
      <c r="HU3" s="112" t="s">
        <v>142</v>
      </c>
      <c r="HV3" s="115" t="s">
        <v>140</v>
      </c>
      <c r="HW3" s="112" t="s">
        <v>464</v>
      </c>
      <c r="HX3" s="112" t="s">
        <v>465</v>
      </c>
      <c r="HY3" s="112" t="s">
        <v>466</v>
      </c>
      <c r="HZ3" s="113"/>
      <c r="IA3" s="112" t="s">
        <v>469</v>
      </c>
      <c r="IB3" s="113" t="s">
        <v>470</v>
      </c>
      <c r="IC3" s="112" t="s">
        <v>472</v>
      </c>
      <c r="ID3" s="112" t="s">
        <v>473</v>
      </c>
      <c r="IE3" s="113" t="s">
        <v>474</v>
      </c>
      <c r="IF3" s="112" t="s">
        <v>498</v>
      </c>
      <c r="IG3" s="112" t="s">
        <v>499</v>
      </c>
      <c r="IH3" s="113" t="s">
        <v>500</v>
      </c>
      <c r="II3" s="112" t="s">
        <v>418</v>
      </c>
      <c r="IJ3" s="113" t="s">
        <v>518</v>
      </c>
      <c r="IK3" s="112" t="s">
        <v>520</v>
      </c>
      <c r="IL3" s="113" t="s">
        <v>521</v>
      </c>
      <c r="IM3" s="112"/>
      <c r="IN3" s="112"/>
      <c r="IO3" s="112" t="s">
        <v>507</v>
      </c>
      <c r="IP3" s="112" t="s">
        <v>508</v>
      </c>
      <c r="IQ3" s="112" t="s">
        <v>514</v>
      </c>
      <c r="IR3" s="112" t="s">
        <v>515</v>
      </c>
      <c r="IS3" s="112" t="s">
        <v>513</v>
      </c>
      <c r="IT3" s="112" t="s">
        <v>510</v>
      </c>
      <c r="IU3" s="112" t="s">
        <v>511</v>
      </c>
      <c r="IV3" s="112" t="s">
        <v>512</v>
      </c>
      <c r="IW3" s="112"/>
      <c r="IX3" s="111" t="s">
        <v>325</v>
      </c>
      <c r="IY3" s="110" t="s">
        <v>527</v>
      </c>
      <c r="IZ3" s="110" t="s">
        <v>43</v>
      </c>
      <c r="JA3" s="110" t="s">
        <v>462</v>
      </c>
      <c r="JB3" s="110" t="s">
        <v>528</v>
      </c>
      <c r="JC3" s="110" t="s">
        <v>524</v>
      </c>
      <c r="JD3" s="110" t="s">
        <v>525</v>
      </c>
      <c r="JF3" s="110" t="s">
        <v>143</v>
      </c>
      <c r="JG3" s="110" t="s">
        <v>144</v>
      </c>
      <c r="JK3" s="110" t="s">
        <v>145</v>
      </c>
      <c r="JL3" s="110" t="s">
        <v>146</v>
      </c>
      <c r="JM3" s="110" t="s">
        <v>502</v>
      </c>
      <c r="JN3" s="95"/>
      <c r="JO3" s="95"/>
      <c r="JP3" s="95"/>
      <c r="JQ3" s="95"/>
      <c r="JR3" s="95"/>
      <c r="JS3" s="95"/>
      <c r="JT3" s="95"/>
      <c r="JU3" s="95"/>
      <c r="JV3" s="95"/>
      <c r="JW3" s="95"/>
      <c r="JX3" s="95"/>
      <c r="JY3" s="95"/>
      <c r="JZ3" s="95"/>
      <c r="KA3" s="95"/>
      <c r="KB3" s="95"/>
      <c r="KC3" s="95"/>
      <c r="KD3" s="95"/>
      <c r="KE3" s="95"/>
      <c r="KF3" s="95"/>
      <c r="KG3" s="95"/>
      <c r="KH3" s="95"/>
      <c r="KI3" s="95"/>
      <c r="KJ3" s="95"/>
      <c r="KK3" s="95"/>
      <c r="KL3" s="95"/>
      <c r="KM3" s="95"/>
      <c r="KN3" s="95"/>
      <c r="KO3" s="95"/>
      <c r="KP3" s="95"/>
      <c r="KQ3" s="95"/>
      <c r="KR3" s="95"/>
      <c r="KS3" s="95"/>
      <c r="KT3" s="95"/>
      <c r="KU3" s="95"/>
      <c r="KV3" s="95"/>
      <c r="KW3" s="95"/>
      <c r="KX3" s="95"/>
      <c r="KY3" s="95"/>
      <c r="KZ3" s="95"/>
      <c r="LA3" s="95"/>
      <c r="LB3" s="95"/>
      <c r="LC3" s="95"/>
      <c r="LD3" s="95"/>
      <c r="LE3" s="95"/>
      <c r="LF3" s="95"/>
      <c r="LG3" s="95"/>
      <c r="LH3" s="95"/>
      <c r="LI3" s="95"/>
      <c r="LJ3" s="95"/>
      <c r="LK3" s="95"/>
      <c r="LL3" s="95"/>
      <c r="LM3" s="95"/>
      <c r="LN3" s="95"/>
      <c r="LO3" s="95"/>
      <c r="LP3" s="95"/>
      <c r="LQ3" s="95"/>
      <c r="LR3" s="95"/>
      <c r="LS3" s="95"/>
      <c r="LT3" s="95"/>
      <c r="LU3" s="95"/>
      <c r="LV3" s="95"/>
      <c r="LW3" s="95"/>
      <c r="LX3" s="95"/>
      <c r="LY3" s="95"/>
      <c r="LZ3" s="95"/>
      <c r="MA3" s="95"/>
      <c r="MB3" s="95"/>
      <c r="MC3" s="95"/>
      <c r="MD3" s="95"/>
      <c r="ME3" s="95"/>
      <c r="MF3" s="95"/>
      <c r="MG3" s="95"/>
      <c r="MH3" s="95"/>
      <c r="MI3" s="95"/>
      <c r="MJ3" s="95"/>
      <c r="MK3" s="95"/>
      <c r="ML3" s="95"/>
      <c r="MM3" s="95"/>
      <c r="MN3" s="95"/>
      <c r="MO3" s="95"/>
      <c r="MP3" s="95"/>
      <c r="MQ3" s="95"/>
      <c r="MR3" s="95"/>
      <c r="MS3" s="95"/>
      <c r="MT3" s="95"/>
      <c r="MU3" s="95"/>
      <c r="MV3" s="95"/>
      <c r="MW3" s="95"/>
      <c r="MX3" s="95"/>
      <c r="MY3" s="95"/>
      <c r="MZ3" s="95"/>
      <c r="NA3" s="95"/>
      <c r="NB3" s="95"/>
      <c r="NC3" s="95"/>
      <c r="ND3" s="95"/>
      <c r="NE3" s="95"/>
      <c r="NF3" s="95"/>
      <c r="NG3" s="95"/>
      <c r="NH3" s="95"/>
      <c r="NI3" s="95"/>
      <c r="NJ3" s="95"/>
      <c r="NK3" s="95"/>
      <c r="NL3" s="95"/>
      <c r="NM3" s="95"/>
      <c r="NN3" s="95"/>
      <c r="NO3" s="95"/>
      <c r="NP3" s="95"/>
      <c r="NQ3" s="95"/>
      <c r="NR3" s="95"/>
      <c r="NS3" s="95"/>
      <c r="NT3" s="95"/>
      <c r="NU3" s="95"/>
      <c r="NV3" s="95"/>
      <c r="NW3" s="95"/>
      <c r="NX3" s="95"/>
      <c r="NY3" s="95"/>
      <c r="NZ3" s="95"/>
      <c r="OA3" s="95"/>
      <c r="OB3" s="95"/>
      <c r="OC3" s="95"/>
      <c r="OD3" s="95"/>
      <c r="OE3" s="95"/>
      <c r="OF3" s="95"/>
      <c r="OG3" s="95"/>
      <c r="OH3" s="95"/>
      <c r="OI3" s="95"/>
      <c r="OJ3" s="95"/>
      <c r="OK3" s="95"/>
      <c r="OL3" s="95"/>
      <c r="OM3" s="95"/>
      <c r="ON3" s="95"/>
      <c r="OO3" s="95"/>
      <c r="OP3" s="95"/>
      <c r="OQ3" s="95"/>
      <c r="OR3" s="95"/>
      <c r="OS3" s="95"/>
      <c r="OT3" s="95"/>
      <c r="OU3" s="95"/>
      <c r="OV3" s="95"/>
      <c r="OW3" s="95"/>
      <c r="OX3" s="95"/>
      <c r="OY3" s="95"/>
      <c r="OZ3" s="95"/>
      <c r="PA3" s="95"/>
      <c r="PB3" s="95"/>
      <c r="PC3" s="95"/>
      <c r="PD3" s="95"/>
      <c r="PE3" s="95"/>
      <c r="PF3" s="95"/>
      <c r="PG3" s="95"/>
      <c r="PH3" s="95"/>
      <c r="PI3" s="95"/>
      <c r="PJ3" s="95"/>
      <c r="PK3" s="95"/>
      <c r="PL3" s="95"/>
      <c r="PM3" s="95"/>
      <c r="PN3" s="95"/>
      <c r="PO3" s="95"/>
      <c r="PP3" s="95"/>
      <c r="PQ3" s="95"/>
      <c r="PR3" s="95"/>
      <c r="PS3" s="95"/>
      <c r="PT3" s="95"/>
      <c r="PU3" s="95"/>
      <c r="PV3" s="95"/>
      <c r="PW3" s="95"/>
      <c r="PX3" s="95"/>
      <c r="PY3" s="95"/>
      <c r="PZ3" s="95"/>
      <c r="QA3" s="95"/>
      <c r="QB3" s="95"/>
      <c r="QC3" s="95"/>
      <c r="QD3" s="95"/>
      <c r="QE3" s="95"/>
      <c r="QF3" s="95"/>
      <c r="QG3" s="95"/>
      <c r="QH3" s="95"/>
      <c r="QI3" s="95"/>
      <c r="QJ3" s="95"/>
      <c r="QK3" s="95"/>
      <c r="QL3" s="95"/>
      <c r="QM3" s="95"/>
      <c r="QN3" s="95"/>
      <c r="QO3" s="95"/>
    </row>
    <row r="4" spans="1:457" s="110" customFormat="1" ht="33" customHeight="1">
      <c r="B4" s="96"/>
      <c r="C4" s="142" t="s">
        <v>147</v>
      </c>
      <c r="E4" s="111">
        <f t="array" ref="E4">MAX(IF(E13:E503="Y",$C13:$C503))</f>
        <v>1</v>
      </c>
      <c r="F4" s="112">
        <f t="array" ref="F4">MAX(IF(F13:F503="Y",$C13:$C503))</f>
        <v>1</v>
      </c>
      <c r="G4" s="112">
        <f t="array" ref="G4">MAX(IF(G13:G503="Y",$C13:$C503))</f>
        <v>1</v>
      </c>
      <c r="H4" s="112">
        <f t="array" ref="H4">MAX(IF(H13:H503="Y",$C13:$C503))</f>
        <v>3</v>
      </c>
      <c r="I4" s="112">
        <f t="array" ref="I4">MAX(IF(I13:I503="Y",$C13:$C503))</f>
        <v>3</v>
      </c>
      <c r="J4" s="112">
        <f t="array" ref="J4">MAX(IF(J13:J503="Y",$C13:$C503))</f>
        <v>2</v>
      </c>
      <c r="K4" s="112">
        <f t="array" ref="K4">MAX(IF(K13:K503="Y",$C13:$C503))</f>
        <v>4</v>
      </c>
      <c r="L4" s="111">
        <f t="array" ref="L4">MAX(IF(L13:L503="Y",$C13:$C503))</f>
        <v>2</v>
      </c>
      <c r="M4" s="112">
        <f t="array" ref="M4">MAX(IF(M13:M503="Y",$C13:$C503))</f>
        <v>1</v>
      </c>
      <c r="N4" s="112">
        <f t="array" ref="N4">MAX(IF(N13:N503="Y",$C13:$C503))</f>
        <v>1</v>
      </c>
      <c r="O4" s="113">
        <f t="array" ref="O4">MAX(IF(O13:O503="Y",$C13:$C503))</f>
        <v>2</v>
      </c>
      <c r="P4" s="112">
        <f t="array" ref="P4">MAX(IF(P13:P503="Y",$C13:$C503))</f>
        <v>1</v>
      </c>
      <c r="Q4" s="112">
        <f t="array" ref="Q4">MAX(IF(Q13:Q503="Y",$C13:$C503))</f>
        <v>1</v>
      </c>
      <c r="R4" s="112">
        <f t="array" ref="R4">MAX(IF(R13:R503="Y",$C13:$C503))</f>
        <v>2</v>
      </c>
      <c r="S4" s="112">
        <f t="array" ref="S4">MAX(IF(S13:S503="Y",$C13:$C503))</f>
        <v>2</v>
      </c>
      <c r="T4" s="112">
        <f t="array" ref="T4">MAX(IF(T13:T503="Y",$C13:$C503))</f>
        <v>2</v>
      </c>
      <c r="U4" s="112">
        <f t="array" ref="U4">MAX(IF(U13:U503="Y",$C13:$C503))</f>
        <v>2</v>
      </c>
      <c r="V4" s="111">
        <f t="array" ref="V4">MAX(IF(V13:V503="Y",$C13:$C503))</f>
        <v>1</v>
      </c>
      <c r="W4" s="112">
        <f t="array" ref="W4">MAX(IF(W13:W503="Y",$C13:$C503))</f>
        <v>1</v>
      </c>
      <c r="X4" s="112">
        <f t="array" ref="X4">MAX(IF(X13:X503="Y",$C13:$C503))</f>
        <v>2</v>
      </c>
      <c r="Y4" s="112">
        <f t="array" ref="Y4">MAX(IF(Y13:Y503="Y",$C13:$C503))</f>
        <v>2</v>
      </c>
      <c r="Z4" s="112">
        <f t="array" ref="Z4">MAX(IF(Z13:Z503="Y",$C13:$C503))</f>
        <v>2</v>
      </c>
      <c r="AA4" s="112">
        <f t="array" ref="AA4">MAX(IF(AA13:AA503="Y",$C13:$C503))</f>
        <v>1</v>
      </c>
      <c r="AB4" s="113">
        <f t="array" ref="AB4">MAX(IF(AB13:AB503="Y",$C13:$C503))</f>
        <v>0</v>
      </c>
      <c r="AC4" s="112">
        <f t="array" ref="AC4">MAX(IF(AC13:AC503="Y",$C13:$C503))</f>
        <v>1</v>
      </c>
      <c r="AD4" s="112">
        <f t="array" ref="AD4">MAX(IF(AD13:AD503="Y",$C13:$C503))</f>
        <v>1</v>
      </c>
      <c r="AE4" s="112">
        <f t="array" ref="AE4">MAX(IF(AE13:AE503="Y",$C13:$C503))</f>
        <v>2</v>
      </c>
      <c r="AF4" s="112">
        <f t="array" ref="AF4">MAX(IF(AF13:AF503="Y",$C13:$C503))</f>
        <v>2</v>
      </c>
      <c r="AG4" s="112">
        <f t="array" ref="AG4">MAX(IF(AG13:AG503="Y",$C13:$C503))</f>
        <v>2</v>
      </c>
      <c r="AH4" s="112">
        <f t="array" ref="AH4">MAX(IF(AH13:AH503="Y",$C13:$C503))</f>
        <v>4</v>
      </c>
      <c r="AI4" s="111">
        <f t="array" ref="AI4">MAX(IF(AI13:AI503="Y",$C13:$C503))</f>
        <v>1</v>
      </c>
      <c r="AJ4" s="112">
        <f t="array" ref="AJ4">MAX(IF(AJ13:AJ503="Y",$C13:$C503))</f>
        <v>1</v>
      </c>
      <c r="AK4" s="112">
        <f t="array" ref="AK4">MAX(IF(AK13:AK503="Y",$C13:$C503))</f>
        <v>1</v>
      </c>
      <c r="AL4" s="112">
        <f t="array" ref="AL4">MAX(IF(AL13:AL503="Y",$C13:$C503))</f>
        <v>3</v>
      </c>
      <c r="AM4" s="112">
        <f t="array" ref="AM4">MAX(IF(AM13:AM503="Y",$C13:$C503))</f>
        <v>3</v>
      </c>
      <c r="AN4" s="112">
        <f t="array" ref="AN4">MAX(IF(AN13:AN503="Y",$C13:$C503))</f>
        <v>0</v>
      </c>
      <c r="AO4" s="113">
        <f t="array" ref="AO4">MAX(IF(AO13:AO503="Y",$C13:$C503))</f>
        <v>4</v>
      </c>
      <c r="AP4" s="112">
        <f t="array" ref="AP4">MAX(IF(AP13:AP503="Y",$C13:$C503))</f>
        <v>2</v>
      </c>
      <c r="AQ4" s="112">
        <f t="array" ref="AQ4">MAX(IF(AQ13:AQ503="Y",$C13:$C503))</f>
        <v>1</v>
      </c>
      <c r="AR4" s="112">
        <f t="array" ref="AR4">MAX(IF(AR13:AR503="Y",$C13:$C503))</f>
        <v>1</v>
      </c>
      <c r="AS4" s="113">
        <f t="array" ref="AS4">MAX(IF(AS13:AS503="Y",$C13:$C503))</f>
        <v>2</v>
      </c>
      <c r="AT4" s="111">
        <f t="array" ref="AT4">MAX(IF(AT13:AT503="Y",$C13:$C503))</f>
        <v>4</v>
      </c>
      <c r="AU4" s="112">
        <f t="array" ref="AU4">MAX(IF(AU13:AU503="Y",$C13:$C503))</f>
        <v>1</v>
      </c>
      <c r="AV4" s="112">
        <f t="array" ref="AV4">MAX(IF(AV13:AV503="Y",$C13:$C503))</f>
        <v>2</v>
      </c>
      <c r="AW4" s="112">
        <f t="array" ref="AW4">MAX(IF(AW13:AW503="Y",$C13:$C503))</f>
        <v>2</v>
      </c>
      <c r="AX4" s="112">
        <f t="array" ref="AX4">MAX(IF(AX13:AX503="Y",$C13:$C503))</f>
        <v>2</v>
      </c>
      <c r="AY4" s="113">
        <f t="array" ref="AY4">MAX(IF(AY13:AY503="Y",$C13:$C503))</f>
        <v>4</v>
      </c>
      <c r="AZ4" s="111">
        <f t="array" ref="AZ4">MAX(IF(AZ13:AZ503="Y",$C13:$C503))</f>
        <v>1</v>
      </c>
      <c r="BA4" s="112">
        <f t="array" ref="BA4">MAX(IF(BA13:BA503="Y",$C13:$C503))</f>
        <v>1</v>
      </c>
      <c r="BB4" s="112">
        <f t="array" ref="BB4">MAX(IF(BB13:BB503="Y",$C13:$C503))</f>
        <v>2</v>
      </c>
      <c r="BC4" s="112">
        <f t="array" ref="BC4">MAX(IF(BC13:BC503="Y",$C13:$C503))</f>
        <v>2</v>
      </c>
      <c r="BD4" s="112">
        <f t="array" ref="BD4">MAX(IF(BD13:BD503="Y",$C13:$C503))</f>
        <v>2</v>
      </c>
      <c r="BE4" s="112">
        <f t="array" ref="BE4">MAX(IF(BE13:BE503="Y",$C13:$C503))</f>
        <v>2</v>
      </c>
      <c r="BF4" s="113">
        <f t="array" ref="BF4">MAX(IF(BF13:BF503="Y",$C13:$C503))</f>
        <v>4</v>
      </c>
      <c r="BG4" s="111">
        <f t="array" ref="BG4">MAX(IF(BG13:BG503="Y",$C13:$C503))</f>
        <v>1</v>
      </c>
      <c r="BH4" s="112">
        <f t="array" ref="BH4">MAX(IF(BH13:BH503="Y",$C13:$C503))</f>
        <v>1</v>
      </c>
      <c r="BI4" s="112">
        <f t="array" ref="BI4">MAX(IF(BI13:BI503="Y",$C13:$C503))</f>
        <v>2</v>
      </c>
      <c r="BJ4" s="112">
        <f t="array" ref="BJ4">MAX(IF(BJ13:BJ503="Y",$C13:$C503))</f>
        <v>0</v>
      </c>
      <c r="BK4" s="113">
        <f t="array" ref="BK4">MAX(IF(BK13:BK503="Y",$C13:$C503))</f>
        <v>4</v>
      </c>
      <c r="BL4" s="111">
        <f t="array" ref="BL4">MAX(IF(BL13:BL503="Y",$C13:$C503))</f>
        <v>2</v>
      </c>
      <c r="BM4" s="112">
        <f t="array" ref="BM4">MAX(IF(BM13:BM503="Y",$C13:$C503))</f>
        <v>3</v>
      </c>
      <c r="BN4" s="112">
        <f t="array" ref="BN4">MAX(IF(BN13:BN503="Y",$C13:$C503))</f>
        <v>3</v>
      </c>
      <c r="BO4" s="112">
        <f t="array" ref="BO4">MAX(IF(BO13:BO503="Y",$C13:$C503))</f>
        <v>2</v>
      </c>
      <c r="BP4" s="112">
        <f t="array" ref="BP4">MAX(IF(BP13:BP503="Y",$C13:$C503))</f>
        <v>2</v>
      </c>
      <c r="BQ4" s="112">
        <f t="array" ref="BQ4">MAX(IF(BQ13:BQ503="Y",$C13:$C503))</f>
        <v>2</v>
      </c>
      <c r="BR4" s="112">
        <f t="array" ref="BR4">MAX(IF(BR13:BR503="Y",$C13:$C503))</f>
        <v>2</v>
      </c>
      <c r="BS4" s="113">
        <f t="array" ref="BS4">MAX(IF(BS13:BS503="Y",$C13:$C503))</f>
        <v>4</v>
      </c>
      <c r="BT4" s="110">
        <f t="array" ref="BT4">MAX(IF(BT13:BT503="Y",$C13:$C503))</f>
        <v>2</v>
      </c>
      <c r="BU4" s="110">
        <f t="array" ref="BU4">MAX(IF(BU13:BU503="Y",$C13:$C503))</f>
        <v>2</v>
      </c>
      <c r="BV4" s="110">
        <f t="array" ref="BV4">MAX(IF(BV13:BV503="Y",$C13:$C503))</f>
        <v>2</v>
      </c>
      <c r="BW4" s="110">
        <f t="array" ref="BW4">MAX(IF(BW13:BW503="Y",$C13:$C503))</f>
        <v>2</v>
      </c>
      <c r="BX4" s="110">
        <f t="array" ref="BX4">MAX(IF(BX13:BX503="Y",$C13:$C503))</f>
        <v>4</v>
      </c>
      <c r="BY4" s="111">
        <f t="array" ref="BY4">MAX(IF(BY13:BY503="Y",$C13:$C503))</f>
        <v>2</v>
      </c>
      <c r="BZ4" s="112">
        <f t="array" ref="BZ4">MAX(IF(BZ13:BZ503="Y",$C13:$C503))</f>
        <v>2</v>
      </c>
      <c r="CA4" s="112">
        <f t="array" ref="CA4">MAX(IF(CA13:CA503="Y",$C13:$C503))</f>
        <v>2</v>
      </c>
      <c r="CB4" s="112">
        <f t="array" ref="CB4">MAX(IF(CB13:CB503="Y",$C13:$C503))</f>
        <v>2</v>
      </c>
      <c r="CC4" s="112">
        <f t="array" ref="CC4">MAX(IF(CC13:CC503="Y",$C13:$C503))</f>
        <v>2</v>
      </c>
      <c r="CD4" s="113">
        <f t="array" ref="CD4">MAX(IF(CD13:CD503="Y",$C13:$C503))</f>
        <v>4</v>
      </c>
      <c r="CE4" s="110">
        <f t="array" ref="CE4">MAX(IF(CE13:CE503="Y",$C13:$C503))</f>
        <v>2</v>
      </c>
      <c r="CF4" s="110">
        <f t="array" ref="CF4">MAX(IF(CF13:CF503="Y",$C13:$C503))</f>
        <v>2</v>
      </c>
      <c r="CG4" s="110">
        <f t="array" ref="CG4">MAX(IF(CG13:CG503="Y",$C13:$C503))</f>
        <v>2</v>
      </c>
      <c r="CH4" s="110">
        <f t="array" ref="CH4">MAX(IF(CH13:CH503="Y",$C13:$C503))</f>
        <v>2</v>
      </c>
      <c r="CI4" s="110">
        <f t="array" ref="CI4">MAX(IF(CI13:CI503="Y",$C13:$C503))</f>
        <v>4</v>
      </c>
      <c r="CJ4" s="111">
        <f t="array" ref="CJ4">MAX(IF(CJ13:CJ503="Y",$C13:$C503))</f>
        <v>2</v>
      </c>
      <c r="CK4" s="112">
        <f t="array" ref="CK4">MAX(IF(CK13:CK503="Y",$C13:$C503))</f>
        <v>2</v>
      </c>
      <c r="CL4" s="113">
        <f t="array" ref="CL4">MAX(IF(CL13:CL503="Y",$C13:$C503))</f>
        <v>4</v>
      </c>
      <c r="CM4" s="110">
        <f t="array" ref="CM4">MAX(IF(CM13:CM503="Y",$C13:$C503))</f>
        <v>2</v>
      </c>
      <c r="CN4" s="110">
        <f t="array" ref="CN4">MAX(IF(CN13:CN503="Y",$C13:$C503))</f>
        <v>4</v>
      </c>
      <c r="CO4" s="110">
        <f t="array" ref="CO4">MAX(IF(CO13:CO503="Y",$C13:$C503))</f>
        <v>0</v>
      </c>
      <c r="CP4" s="111">
        <f t="array" ref="CP4">MAX(IF(CP13:CP503="Y",$C13:$C503))</f>
        <v>2</v>
      </c>
      <c r="CQ4" s="112">
        <f t="array" ref="CQ4">MAX(IF(CQ13:CQ503="Y",$C13:$C503))</f>
        <v>2</v>
      </c>
      <c r="CR4" s="112">
        <f t="array" ref="CR4">MAX(IF(CR13:CR503="Y",$C13:$C503))</f>
        <v>2</v>
      </c>
      <c r="CS4" s="112">
        <f t="array" ref="CS4">MAX(IF(CS13:CS503="Y",$C13:$C503))</f>
        <v>2</v>
      </c>
      <c r="CT4" s="113">
        <f t="array" ref="CT4">MAX(IF(CT13:CT503="Y",$C13:$C503))</f>
        <v>4</v>
      </c>
      <c r="CU4" s="111">
        <f t="array" ref="CU4">MAX(IF(CU13:CU503="Y",$C13:$C503))</f>
        <v>2</v>
      </c>
      <c r="CV4" s="112">
        <f t="array" ref="CV4">MAX(IF(CV13:CV503="Y",$C13:$C503))</f>
        <v>2</v>
      </c>
      <c r="CW4" s="112">
        <f t="array" ref="CW4">MAX(IF(CW13:CW503="Y",$C13:$C503))</f>
        <v>2</v>
      </c>
      <c r="CX4" s="112">
        <f t="array" ref="CX4">MAX(IF(CX13:CX503="Y",$C13:$C503))</f>
        <v>2</v>
      </c>
      <c r="CY4" s="112">
        <f t="array" ref="CY4">MAX(IF(CY13:CY503="Y",$C13:$C503))</f>
        <v>2</v>
      </c>
      <c r="CZ4" s="113">
        <f t="array" ref="CZ4">MAX(IF(CZ13:CZ503="Y",$C13:$C503))</f>
        <v>4</v>
      </c>
      <c r="DA4" s="111">
        <f t="array" ref="DA4">MAX(IF(DA13:DA503="Y",$C13:$C503))</f>
        <v>2</v>
      </c>
      <c r="DB4" s="112">
        <f t="array" ref="DB4">MAX(IF(DB13:DB503="Y",$C13:$C503))</f>
        <v>2</v>
      </c>
      <c r="DC4" s="112">
        <f t="array" ref="DC4">MAX(IF(DC13:DC503="Y",$C13:$C503))</f>
        <v>2</v>
      </c>
      <c r="DD4" s="112">
        <f t="array" ref="DD4">MAX(IF(DD13:DD503="Y",$C13:$C503))</f>
        <v>2</v>
      </c>
      <c r="DE4" s="113">
        <f t="array" ref="DE4">MAX(IF(DE13:DE503="Y",$C13:$C503))</f>
        <v>4</v>
      </c>
      <c r="DF4" s="111">
        <f t="array" ref="DF4">MAX(IF(DF13:DF503="Y",$C13:$C503))</f>
        <v>0</v>
      </c>
      <c r="DG4" s="112">
        <f t="array" ref="DG4">MAX(IF(DG13:DG503="Y",$C13:$C503))</f>
        <v>0</v>
      </c>
      <c r="DH4" s="112">
        <f t="array" ref="DH4">MAX(IF(DH13:DH503="Y",$C13:$C503))</f>
        <v>0</v>
      </c>
      <c r="DI4" s="112">
        <f t="array" ref="DI4">MAX(IF(DI13:DI503="Y",$C13:$C503))</f>
        <v>0</v>
      </c>
      <c r="DJ4" s="112">
        <f t="array" ref="DJ4">MAX(IF(DJ13:DJ503="Y",$C13:$C503))</f>
        <v>0</v>
      </c>
      <c r="DK4" s="113">
        <f t="array" ref="DK4">MAX(IF(DK13:DK503="Y",$C13:$C503))</f>
        <v>0</v>
      </c>
      <c r="DL4" s="111">
        <f t="array" ref="DL4">MAX(IF(DL13:DL503="Y",$C13:$C503))</f>
        <v>2</v>
      </c>
      <c r="DM4" s="112">
        <f t="array" ref="DM4">MAX(IF(DM13:DM503="Y",$C13:$C503))</f>
        <v>1</v>
      </c>
      <c r="DN4" s="112">
        <f t="array" ref="DN4">MAX(IF(DN13:DN503="Y",$C13:$C503))</f>
        <v>2</v>
      </c>
      <c r="DO4" s="112">
        <f t="array" ref="DO4">MAX(IF(DO13:DO503="Y",$C13:$C503))</f>
        <v>1</v>
      </c>
      <c r="DP4" s="112">
        <f t="array" ref="DP4">MAX(IF(DP13:DP503="Y",$C13:$C503))</f>
        <v>1</v>
      </c>
      <c r="DQ4" s="113">
        <f t="array" ref="DQ4">MAX(IF(DQ13:DQ503="Y",$C13:$C503))</f>
        <v>0</v>
      </c>
      <c r="DR4" s="111">
        <f t="array" ref="DR4">MAX(IF(DR13:DR503="Y",$C13:$C503))</f>
        <v>1</v>
      </c>
      <c r="DS4" s="112">
        <f t="array" ref="DS4">MAX(IF(DS13:DS503="Y",$C13:$C503))</f>
        <v>2</v>
      </c>
      <c r="DT4" s="112">
        <f t="array" ref="DT4">MAX(IF(DT13:DT503="Y",$C13:$C503))</f>
        <v>1</v>
      </c>
      <c r="DU4" s="112">
        <f t="array" ref="DU4">MAX(IF(DU13:DU503="Y",$C13:$C503))</f>
        <v>2</v>
      </c>
      <c r="DV4" s="112">
        <f t="array" ref="DV4">MAX(IF(DV13:DV503="Y",$C13:$C503))</f>
        <v>1</v>
      </c>
      <c r="DW4" s="113">
        <f t="array" ref="DW4">MAX(IF(DW13:DW503="Y",$C13:$C503))</f>
        <v>0</v>
      </c>
      <c r="DX4" s="111">
        <f t="array" ref="DX4">MAX(IF(DX13:DX503="Y",$C13:$C503))</f>
        <v>2</v>
      </c>
      <c r="DY4" s="112">
        <f t="array" ref="DY4">MAX(IF(DY13:DY503="Y",$C13:$C503))</f>
        <v>1</v>
      </c>
      <c r="DZ4" s="112">
        <f t="array" ref="DZ4">MAX(IF(DZ13:DZ503="Y",$C13:$C503))</f>
        <v>1</v>
      </c>
      <c r="EA4" s="112">
        <f t="array" ref="EA4">MAX(IF(EA13:EA503="Y",$C13:$C503))</f>
        <v>2</v>
      </c>
      <c r="EB4" s="112">
        <f t="array" ref="EB4">MAX(IF(EB13:EB503="Y",$C13:$C503))</f>
        <v>1</v>
      </c>
      <c r="EC4" s="113">
        <f t="array" ref="EC4">MAX(IF(EC13:EC503="Y",$C13:$C503))</f>
        <v>0</v>
      </c>
      <c r="ED4" s="111">
        <f t="array" ref="ED4">MAX(IF(ED13:ED503="Y",$C13:$C503))</f>
        <v>2</v>
      </c>
      <c r="EE4" s="112">
        <f t="array" ref="EE4">MAX(IF(EE13:EE503="Y",$C13:$C503))</f>
        <v>2</v>
      </c>
      <c r="EF4" s="112">
        <f t="array" ref="EF4">MAX(IF(EF13:EF503="Y",$C13:$C503))</f>
        <v>1</v>
      </c>
      <c r="EG4" s="112">
        <f t="array" ref="EG4">MAX(IF(EG13:EG503="Y",$C13:$C503))</f>
        <v>1</v>
      </c>
      <c r="EH4" s="112">
        <f t="array" ref="EH4">MAX(IF(EH13:EH503="Y",$C13:$C503))</f>
        <v>2</v>
      </c>
      <c r="EI4" s="112">
        <f t="array" ref="EI4">MAX(IF(EI13:EI503="Y",$C13:$C503))</f>
        <v>0</v>
      </c>
      <c r="EJ4" s="111">
        <f t="array" ref="EJ4">MAX(IF(EJ13:EJ503="Y",$C13:$C503))</f>
        <v>2</v>
      </c>
      <c r="EK4" s="112">
        <f t="array" ref="EK4">MAX(IF(EK13:EK503="Y",$C13:$C503))</f>
        <v>0</v>
      </c>
      <c r="EL4" s="112">
        <f t="array" ref="EL4">MAX(IF(EL13:EL503="Y",$C13:$C503))</f>
        <v>0</v>
      </c>
      <c r="EM4" s="112">
        <f t="array" ref="EM4">MAX(IF(EM13:EM503="Y",$C13:$C503))</f>
        <v>0</v>
      </c>
      <c r="EN4" s="112">
        <f t="array" ref="EN4">MAX(IF(EN13:EN503="Y",$C13:$C503))</f>
        <v>1</v>
      </c>
      <c r="EO4" s="112">
        <f t="array" ref="EO4">MAX(IF(EO13:EO503="Y",$C13:$C503))</f>
        <v>1</v>
      </c>
      <c r="EP4" s="112">
        <f t="array" ref="EP4">MAX(IF(EP13:EP503="Y",$C13:$C503))</f>
        <v>2</v>
      </c>
      <c r="EQ4" s="112">
        <f t="array" ref="EQ4">MAX(IF(EQ13:EQ503="Y",$C13:$C503))</f>
        <v>1</v>
      </c>
      <c r="ER4" s="112">
        <f t="array" ref="ER4">MAX(IF(ER13:ER503="Y",$C13:$C503))</f>
        <v>1</v>
      </c>
      <c r="ES4" s="112">
        <f t="array" ref="ES4">MAX(IF(ES13:ES503="Y",$C13:$C503))</f>
        <v>0</v>
      </c>
      <c r="ET4" s="112">
        <f t="array" ref="ET4">MAX(IF(ET13:ET503="Y",$C13:$C503))</f>
        <v>2</v>
      </c>
      <c r="EU4" s="112">
        <f t="array" ref="EU4">MAX(IF(EU13:EU503="Y",$C13:$C503))</f>
        <v>0</v>
      </c>
      <c r="EV4" s="112">
        <f t="array" ref="EV4">MAX(IF(EV13:EV503="Y",$C13:$C503))</f>
        <v>0</v>
      </c>
      <c r="EW4" s="112">
        <f t="array" ref="EW4">MAX(IF(EW13:EW503="Y",$C13:$C503))</f>
        <v>0</v>
      </c>
      <c r="EX4" s="112">
        <f t="array" ref="EX4">MAX(IF(EX13:EX503="Y",$C13:$C503))</f>
        <v>0</v>
      </c>
      <c r="EY4" s="112">
        <f t="array" ref="EY4">MAX(IF(EY13:EY503="Y",$C13:$C503))</f>
        <v>0</v>
      </c>
      <c r="EZ4" s="114">
        <f t="array" ref="EZ4">MAX(IF(EZ13:EZ503="Y",$C13:$C503))</f>
        <v>1</v>
      </c>
      <c r="FA4" s="112">
        <f t="array" ref="FA4">MAX(IF(FA13:FA503="Y",$C13:$C503))</f>
        <v>1</v>
      </c>
      <c r="FB4" s="112">
        <f t="array" ref="FB4">MAX(IF(FB13:FB503="Y",$C13:$C503))</f>
        <v>1</v>
      </c>
      <c r="FC4" s="112">
        <f t="array" ref="FC4">MAX(IF(FC13:FC503="Y",$C13:$C503))</f>
        <v>1</v>
      </c>
      <c r="FD4" s="112">
        <f t="array" ref="FD4">MAX(IF(FD13:FD503="Y",$C13:$C503))</f>
        <v>1</v>
      </c>
      <c r="FE4" s="112">
        <f t="array" ref="FE4">MAX(IF(FE13:FE503="Y",$C13:$C503))</f>
        <v>1</v>
      </c>
      <c r="FF4" s="111">
        <f t="array" ref="FF4">MAX(IF(FF13:FF503="Y",$C13:$C503))</f>
        <v>1</v>
      </c>
      <c r="FG4" s="112">
        <f t="array" ref="FG4">MAX(IF(FG13:FG503="Y",$C13:$C503))</f>
        <v>1</v>
      </c>
      <c r="FH4" s="112">
        <f t="array" ref="FH4">MAX(IF(FH13:FH503="Y",$C13:$C503))</f>
        <v>1</v>
      </c>
      <c r="FI4" s="112">
        <f t="array" ref="FI4">MAX(IF(FI13:FI503="Y",$C13:$C503))</f>
        <v>1</v>
      </c>
      <c r="FJ4" s="111">
        <f t="array" ref="FJ4">MAX(IF(FJ13:FJ503="Y",$C13:$C503))</f>
        <v>1</v>
      </c>
      <c r="FK4" s="112">
        <f t="array" ref="FK4">MAX(IF(FK13:FK503="Y",$C13:$C503))</f>
        <v>1</v>
      </c>
      <c r="FL4" s="113">
        <f t="array" ref="FL4">MAX(IF(FL13:FL503="Y",$C13:$C503))</f>
        <v>1</v>
      </c>
      <c r="FM4" s="111">
        <f t="array" ref="FM4">MAX(IF(FM13:FM503="Y",$C13:$C503))</f>
        <v>1</v>
      </c>
      <c r="FN4" s="112">
        <f t="array" ref="FN4">MAX(IF(FN13:FN503="Y",$C13:$C503))</f>
        <v>1</v>
      </c>
      <c r="FO4" s="112">
        <f t="array" ref="FO4">MAX(IF(FO13:FO503="Y",$C13:$C503))</f>
        <v>1</v>
      </c>
      <c r="FP4" s="112">
        <f t="array" ref="FP4">MAX(IF(FP13:FP503="Y",$C13:$C503))</f>
        <v>1</v>
      </c>
      <c r="FQ4" s="112">
        <f t="array" ref="FQ4">MAX(IF(FQ13:FQ503="Y",$C13:$C503))</f>
        <v>1</v>
      </c>
      <c r="FR4" s="111">
        <f t="array" ref="FR4">MAX(IF(FR13:FR503="Y",$C13:$C503))</f>
        <v>1</v>
      </c>
      <c r="FS4" s="112">
        <f t="array" ref="FS4">MAX(IF(FS13:FS503="Y",$C13:$C503))</f>
        <v>5</v>
      </c>
      <c r="FT4" s="112">
        <f t="array" ref="FT4">MAX(IF(FT13:FT503="Y",$C13:$C503))</f>
        <v>1</v>
      </c>
      <c r="FU4" s="112">
        <f t="array" ref="FU4">MAX(IF(FU13:FU503="Y",$C13:$C503))</f>
        <v>5</v>
      </c>
      <c r="FV4" s="113">
        <f t="array" ref="FV4">MAX(IF(FV13:FV503="Y",$C13:$C503))</f>
        <v>1</v>
      </c>
      <c r="FW4" s="112">
        <f t="array" ref="FW4">MAX(IF(FW13:FW503="Y",$C13:$C503))</f>
        <v>1</v>
      </c>
      <c r="FX4" s="112">
        <f t="array" ref="FX4">MAX(IF(FX13:FX503="Y",$C13:$C503))</f>
        <v>1</v>
      </c>
      <c r="FY4" s="112">
        <f t="array" ref="FY4">MAX(IF(FY13:FY503="Y",$C13:$C503))</f>
        <v>1</v>
      </c>
      <c r="FZ4" s="112">
        <f t="array" ref="FZ4">MAX(IF(FZ13:FZ503="Y",$C13:$C503))</f>
        <v>4</v>
      </c>
      <c r="GA4" s="112">
        <f t="array" ref="GA4">MAX(IF(GA13:GA503="Y",$C13:$C503))</f>
        <v>1</v>
      </c>
      <c r="GB4" s="112">
        <f t="array" ref="GB4">MAX(IF(GB13:GB503="Y",$C13:$C503))</f>
        <v>3</v>
      </c>
      <c r="GC4" s="112">
        <f t="array" ref="GC4">MAX(IF(GC13:GC503="Y",$C13:$C503))</f>
        <v>2</v>
      </c>
      <c r="GD4" s="112">
        <f t="array" ref="GD4">MAX(IF(GD13:GD503="Y",$C13:$C503))</f>
        <v>4</v>
      </c>
      <c r="GE4" s="112">
        <f t="array" ref="GE4">MAX(IF(GE13:GE503="Y",$C13:$C503))</f>
        <v>1</v>
      </c>
      <c r="GF4" s="112">
        <f t="array" ref="GF4">MAX(IF(GF13:GF503="Y",$C13:$C503))</f>
        <v>0</v>
      </c>
      <c r="GG4" s="112">
        <f t="array" ref="GG4">MAX(IF(GG13:GG503="Y",$C13:$C503))</f>
        <v>1</v>
      </c>
      <c r="GH4" s="111">
        <f t="array" ref="GH4">MAX(IF(GH13:GH503="Y",$C13:$C503))</f>
        <v>2</v>
      </c>
      <c r="GI4" s="112">
        <f t="array" ref="GI4">MAX(IF(GI13:GI503="Y",$C13:$C503))</f>
        <v>0</v>
      </c>
      <c r="GJ4" s="112">
        <f t="array" ref="GJ4">MAX(IF(GJ13:GJ503="Y",$C13:$C503))</f>
        <v>0</v>
      </c>
      <c r="GK4" s="113">
        <f t="array" ref="GK4">MAX(IF(GK13:GK503="Y",$C13:$C503))</f>
        <v>0</v>
      </c>
      <c r="GL4" s="112">
        <f t="array" ref="GL4">MAX(IF(GL13:GL503="Y",$C13:$C503))</f>
        <v>0</v>
      </c>
      <c r="GM4" s="112">
        <f t="array" ref="GM4">MAX(IF(GM13:GM503="Y",$C13:$C503))</f>
        <v>4</v>
      </c>
      <c r="GN4" s="113">
        <f t="array" ref="GN4">MAX(IF(GN13:GN503="Y",$C13:$C503))</f>
        <v>0</v>
      </c>
      <c r="GO4" s="112">
        <f t="array" ref="GO4">MAX(IF(GO13:GO503="Y",$C13:$C503))</f>
        <v>0</v>
      </c>
      <c r="GP4" s="112">
        <f t="array" ref="GP4">MAX(IF(GP13:GP503="Y",$C13:$C503))</f>
        <v>0</v>
      </c>
      <c r="GQ4" s="113">
        <f t="array" ref="GQ4">MAX(IF(GQ13:GQ503="Y",$C13:$C503))</f>
        <v>0</v>
      </c>
      <c r="GR4" s="112">
        <f t="array" ref="GR4">MAX(IF(GR13:GR503="Y",$C13:$C503))</f>
        <v>0</v>
      </c>
      <c r="GS4" s="112">
        <f t="array" ref="GS4">MAX(IF(GS13:GS503="Y",$C13:$C503))</f>
        <v>0</v>
      </c>
      <c r="GT4" s="112">
        <f t="array" ref="GT4">MAX(IF(GT13:GT503="Y",$C13:$C503))</f>
        <v>0</v>
      </c>
      <c r="GU4" s="112">
        <f t="array" ref="GU4">MAX(IF(GU13:GU503="Y",$C13:$C503))</f>
        <v>0</v>
      </c>
      <c r="GV4" s="112">
        <f t="array" ref="GV4">MAX(IF(GV13:GV503="Y",$C13:$C503))</f>
        <v>0</v>
      </c>
      <c r="GW4" s="112">
        <f t="array" ref="GW4">MAX(IF(GW13:GW503="Y",$C13:$C503))</f>
        <v>0</v>
      </c>
      <c r="GX4" s="112">
        <f t="array" ref="GX4">MAX(IF(GX13:GX503="Y",$C13:$C503))</f>
        <v>1</v>
      </c>
      <c r="GY4" s="112">
        <f t="array" ref="GY4">MAX(IF(GY13:GY503="Y",$C13:$C503))</f>
        <v>1</v>
      </c>
      <c r="GZ4" s="112">
        <f t="array" ref="GZ4">MAX(IF(GZ13:GZ503="Y",$C13:$C503))</f>
        <v>0</v>
      </c>
      <c r="HA4" s="112">
        <f t="array" ref="HA4">MAX(IF(HA13:HA503="Y",$C13:$C503))</f>
        <v>4</v>
      </c>
      <c r="HB4" s="112">
        <f t="array" ref="HB4">MAX(IF(HB13:HB503="Y",$C13:$C503))</f>
        <v>0</v>
      </c>
      <c r="HC4" s="112">
        <f t="array" ref="HC4">MAX(IF(HC13:HC503="Y",$C13:$C503))</f>
        <v>0</v>
      </c>
      <c r="HD4" s="112">
        <f t="array" ref="HD4">MAX(IF(HD13:HD503="Y",$C13:$C503))</f>
        <v>1</v>
      </c>
      <c r="HE4" s="112">
        <f t="array" ref="HE4">MAX(IF(HE13:HE503="Y",$C13:$C503))</f>
        <v>0</v>
      </c>
      <c r="HF4" s="112">
        <f t="array" ref="HF4">MAX(IF(HF13:HF503="Y",$C13:$C503))</f>
        <v>3</v>
      </c>
      <c r="HG4" s="112">
        <f t="array" ref="HG4">MAX(IF(HG13:HG503="Y",$C13:$C503))</f>
        <v>0</v>
      </c>
      <c r="HH4" s="112">
        <f t="array" ref="HH4">MAX(IF(HH13:HH503="Y",$C13:$C503))</f>
        <v>0</v>
      </c>
      <c r="HI4" s="112">
        <f t="array" ref="HI4">MAX(IF(HI13:HI503="Y",$C13:$C503))</f>
        <v>0</v>
      </c>
      <c r="HJ4" s="112">
        <f t="array" ref="HJ4">MAX(IF(HJ13:HJ503="Y",$C13:$C503))</f>
        <v>0</v>
      </c>
      <c r="HK4" s="112">
        <f t="array" ref="HK4">MAX(IF(HK13:HK503="Y",$C13:$C503))</f>
        <v>0</v>
      </c>
      <c r="HL4" s="112">
        <f t="array" ref="HL4">MAX(IF(HL13:HL503="Y",$C13:$C503))</f>
        <v>0</v>
      </c>
      <c r="HM4" s="112">
        <f t="array" ref="HM4">MAX(IF(HM13:HM503="Y",$C13:$C503))</f>
        <v>1</v>
      </c>
      <c r="HN4" s="112">
        <f t="array" ref="HN4">MAX(IF(HN13:HN503="Y",$C13:$C503))</f>
        <v>0</v>
      </c>
      <c r="HO4" s="112">
        <f t="array" ref="HO4">MAX(IF(HO13:HO503="Y",$C13:$C503))</f>
        <v>0</v>
      </c>
      <c r="HP4" s="112">
        <f t="array" ref="HP4">MAX(IF(HP13:HP503="Y",$C13:$C503))</f>
        <v>0</v>
      </c>
      <c r="HQ4" s="112">
        <f t="array" ref="HQ4">MAX(IF(HQ13:HQ503="Y",$C13:$C503))</f>
        <v>0</v>
      </c>
      <c r="HR4" s="112">
        <f t="array" ref="HR4">MAX(IF(HR13:HR503="Y",$C13:$C503))</f>
        <v>0</v>
      </c>
      <c r="HS4" s="112">
        <f t="array" ref="HS4">MAX(IF(HS13:HS503="Y",$C13:$C503))</f>
        <v>0</v>
      </c>
      <c r="HT4" s="116">
        <f t="array" ref="HT4">MAX(IF(HT13:HT503="Y",$C13:$C503))</f>
        <v>0</v>
      </c>
      <c r="HU4" s="112">
        <f t="array" ref="HU4">MAX(IF(HU13:HU503="Y",$C13:$C503))</f>
        <v>0</v>
      </c>
      <c r="HV4" s="113">
        <f t="array" ref="HV4">MAX(IF(HV13:HV503="Y",$C13:$C503))</f>
        <v>0</v>
      </c>
      <c r="HW4" s="112">
        <f t="array" ref="HW4">MAX(IF(HW13:HW503="Y",$C13:$C503))</f>
        <v>0</v>
      </c>
      <c r="HX4" s="112">
        <f t="array" ref="HX4">MAX(IF(HX13:HX503="Y",$C13:$C503))</f>
        <v>0</v>
      </c>
      <c r="HY4" s="112">
        <f t="array" ref="HY4">MAX(IF(HY13:HY503="Y",$C13:$C503))</f>
        <v>0</v>
      </c>
      <c r="HZ4" s="113">
        <f t="array" ref="HZ4">MAX(IF(HZ13:HZ503="Y",$C13:$C503))</f>
        <v>0</v>
      </c>
      <c r="IA4" s="112">
        <f t="array" ref="IA4">MAX(IF(IA13:IA503="Y",$C13:$C503))</f>
        <v>0</v>
      </c>
      <c r="IB4" s="113">
        <f t="array" ref="IB4">MAX(IF(IB13:IB503="Y",$C13:$C503))</f>
        <v>0</v>
      </c>
      <c r="IC4" s="112">
        <f t="array" ref="IC4">MAX(IF(IC13:IC503="Y",$C13:$C503))</f>
        <v>0</v>
      </c>
      <c r="ID4" s="112">
        <f t="array" ref="ID4">MAX(IF(ID13:ID503="Y",$C13:$C503))</f>
        <v>0</v>
      </c>
      <c r="IE4" s="113">
        <f t="array" ref="IE4">MAX(IF(IE13:IE503="Y",$C13:$C503))</f>
        <v>0</v>
      </c>
      <c r="IF4" s="112">
        <f t="array" ref="IF4">MAX(IF(IF13:IF503="Y",$C13:$C503))</f>
        <v>0</v>
      </c>
      <c r="IG4" s="112">
        <f t="array" ref="IG4">MAX(IF(IG13:IG503="Y",$C13:$C503))</f>
        <v>0</v>
      </c>
      <c r="IH4" s="113">
        <f t="array" ref="IH4">MAX(IF(IH13:IH503="Y",$C13:$C503))</f>
        <v>0</v>
      </c>
      <c r="II4" s="112">
        <f t="array" ref="II4">MAX(IF(II13:II503="Y",$C13:$C503))</f>
        <v>0</v>
      </c>
      <c r="IJ4" s="113">
        <f t="array" ref="IJ4">MAX(IF(IJ13:IJ503="Y",$C13:$C503))</f>
        <v>0</v>
      </c>
      <c r="IK4" s="112">
        <f t="array" ref="IK4">MAX(IF(IK13:IK503="Y",$C13:$C503))</f>
        <v>0</v>
      </c>
      <c r="IL4" s="113">
        <f t="array" ref="IL4">MAX(IF(IL13:IL503="Y",$C13:$C503))</f>
        <v>0</v>
      </c>
      <c r="IM4" s="112">
        <f t="array" ref="IM4">MAX(IF(IM13:IM503="Y",$C13:$C503))</f>
        <v>0</v>
      </c>
      <c r="IN4" s="112">
        <f t="array" ref="IN4">MAX(IF(IN13:IN503="Y",$C13:$C503))</f>
        <v>0</v>
      </c>
      <c r="IO4" s="112">
        <f t="array" ref="IO4">MAX(IF(IO13:IO503="Y",$C13:$C503))</f>
        <v>0</v>
      </c>
      <c r="IP4" s="112">
        <f t="array" ref="IP4">MAX(IF(IP13:IP503="Y",$C13:$C503))</f>
        <v>0</v>
      </c>
      <c r="IQ4" s="112">
        <f t="array" ref="IQ4">MAX(IF(IQ13:IQ503="Y",$C13:$C503))</f>
        <v>0</v>
      </c>
      <c r="IR4" s="112">
        <f t="array" ref="IR4">MAX(IF(IR13:IR503="Y",$C13:$C503))</f>
        <v>0</v>
      </c>
      <c r="IS4" s="112">
        <f t="array" ref="IS4">MAX(IF(IS13:IS503="Y",$C13:$C503))</f>
        <v>0</v>
      </c>
      <c r="IT4" s="112">
        <f t="array" ref="IT4">MAX(IF(IT13:IT503="Y",$C13:$C503))</f>
        <v>0</v>
      </c>
      <c r="IU4" s="112">
        <f t="array" ref="IU4">MAX(IF(IU13:IU503="Y",$C13:$C503))</f>
        <v>0</v>
      </c>
      <c r="IV4" s="112">
        <f t="array" ref="IV4">MAX(IF(IV13:IV503="Y",$C13:$C503))</f>
        <v>0</v>
      </c>
      <c r="IW4" s="112">
        <f t="array" ref="IW4">MAX(IF(IW13:IW503="Y",$C13:$C503))</f>
        <v>0</v>
      </c>
      <c r="IX4" s="112">
        <f t="array" ref="IX4">MAX(IF(IX13:IX503="Y",$C13:$C503))</f>
        <v>0</v>
      </c>
      <c r="IY4" s="112">
        <f t="array" ref="IY4">MAX(IF(IY13:IY503="Y",$C13:$C503))</f>
        <v>0</v>
      </c>
      <c r="IZ4" s="112">
        <f t="array" ref="IZ4">MAX(IF(IZ13:IZ503="Y",$C13:$C503))</f>
        <v>0</v>
      </c>
      <c r="JA4" s="112">
        <f t="array" ref="JA4">MAX(IF(JA13:JA503="Y",$C13:$C503))</f>
        <v>0</v>
      </c>
      <c r="JB4" s="112">
        <f t="array" ref="JB4">MAX(IF(JB13:JB503="Y",$C13:$C503))</f>
        <v>0</v>
      </c>
      <c r="JC4" s="112">
        <f t="array" ref="JC4">MAX(IF(JC13:JC503="Y",$C13:$C503))</f>
        <v>0</v>
      </c>
      <c r="JD4" s="112">
        <f t="array" ref="JD4">MAX(IF(JD13:JD503="Y",$C13:$C503))</f>
        <v>0</v>
      </c>
      <c r="JE4" s="112">
        <f t="array" ref="JE4">MAX(IF(JE13:JE503="Y",$C13:$C503))</f>
        <v>0</v>
      </c>
      <c r="JF4" s="112">
        <f t="array" ref="JF4">MAX(IF(JF13:JF503="Y",$C13:$C503))</f>
        <v>0</v>
      </c>
      <c r="JG4" s="112">
        <f t="array" ref="JG4">MAX(IF(JG13:JG503="Y",$C13:$C503))</f>
        <v>0</v>
      </c>
      <c r="JH4" s="112">
        <f t="array" ref="JH4">MAX(IF(JH13:JH503="Y",$C13:$C503))</f>
        <v>0</v>
      </c>
      <c r="JI4" s="112">
        <f t="array" ref="JI4">MAX(IF(JI13:JI503="Y",$C13:$C503))</f>
        <v>0</v>
      </c>
      <c r="JJ4" s="112">
        <f t="array" ref="JJ4">MAX(IF(JJ13:JJ503="Y",$C13:$C503))</f>
        <v>0</v>
      </c>
      <c r="JK4" s="112">
        <f t="array" ref="JK4">MAX(IF(JK13:JK503="Y",$C13:$C503))</f>
        <v>0</v>
      </c>
      <c r="JL4" s="112">
        <f t="array" ref="JL4">MAX(IF(JL13:JL503="Y",$C13:$C503))</f>
        <v>0</v>
      </c>
      <c r="JM4" s="112">
        <f t="array" ref="JM4">MAX(IF(JM13:JM503="Y",$C13:$C503))</f>
        <v>0</v>
      </c>
      <c r="JN4" s="95"/>
      <c r="JO4" s="95"/>
      <c r="JP4" s="95"/>
      <c r="JQ4" s="95"/>
      <c r="JR4" s="95"/>
      <c r="JS4" s="95"/>
      <c r="JT4" s="95"/>
      <c r="JU4" s="95"/>
      <c r="JV4" s="95"/>
      <c r="JW4" s="95"/>
      <c r="JX4" s="95"/>
      <c r="JY4" s="95"/>
      <c r="JZ4" s="95"/>
      <c r="KA4" s="95"/>
      <c r="KB4" s="95"/>
      <c r="KC4" s="95"/>
      <c r="KD4" s="95"/>
      <c r="KE4" s="95"/>
      <c r="KF4" s="95"/>
      <c r="KG4" s="95"/>
      <c r="KH4" s="95"/>
      <c r="KI4" s="95"/>
      <c r="KJ4" s="95"/>
      <c r="KK4" s="95"/>
      <c r="KL4" s="95"/>
      <c r="KM4" s="95"/>
      <c r="KN4" s="95"/>
      <c r="KO4" s="95"/>
      <c r="KP4" s="95"/>
      <c r="KQ4" s="95"/>
      <c r="KR4" s="95"/>
      <c r="KS4" s="95"/>
      <c r="KT4" s="95"/>
      <c r="KU4" s="95"/>
      <c r="KV4" s="95"/>
      <c r="KW4" s="95"/>
      <c r="KX4" s="95"/>
      <c r="KY4" s="95"/>
      <c r="KZ4" s="95"/>
      <c r="LA4" s="95"/>
      <c r="LB4" s="95"/>
      <c r="LC4" s="95"/>
      <c r="LD4" s="95"/>
      <c r="LE4" s="95"/>
      <c r="LF4" s="95"/>
      <c r="LG4" s="95"/>
      <c r="LH4" s="95"/>
      <c r="LI4" s="95"/>
      <c r="LJ4" s="95"/>
      <c r="LK4" s="95"/>
      <c r="LL4" s="95"/>
      <c r="LM4" s="95"/>
      <c r="LN4" s="95"/>
      <c r="LO4" s="95"/>
      <c r="LP4" s="95"/>
      <c r="LQ4" s="95"/>
      <c r="LR4" s="95"/>
      <c r="LS4" s="95"/>
      <c r="LT4" s="95"/>
      <c r="LU4" s="95"/>
      <c r="LV4" s="95"/>
      <c r="LW4" s="95"/>
      <c r="LX4" s="95"/>
      <c r="LY4" s="95"/>
      <c r="LZ4" s="95"/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5"/>
      <c r="NE4" s="95"/>
      <c r="NF4" s="95"/>
      <c r="NG4" s="95"/>
      <c r="NH4" s="95"/>
      <c r="NI4" s="95"/>
      <c r="NJ4" s="95"/>
      <c r="NK4" s="95"/>
      <c r="NL4" s="95"/>
      <c r="NM4" s="95"/>
      <c r="NN4" s="95"/>
      <c r="NO4" s="95"/>
      <c r="NP4" s="95"/>
      <c r="NQ4" s="95"/>
      <c r="NR4" s="95"/>
      <c r="NS4" s="95"/>
      <c r="NT4" s="95"/>
      <c r="NU4" s="95"/>
      <c r="NV4" s="95"/>
      <c r="NW4" s="95"/>
      <c r="NX4" s="95"/>
      <c r="NY4" s="95"/>
      <c r="NZ4" s="95"/>
      <c r="OA4" s="95"/>
      <c r="OB4" s="95"/>
      <c r="OC4" s="95"/>
      <c r="OD4" s="95"/>
      <c r="OE4" s="95"/>
      <c r="OF4" s="95"/>
      <c r="OG4" s="95"/>
      <c r="OH4" s="95"/>
      <c r="OI4" s="95"/>
      <c r="OJ4" s="95"/>
      <c r="OK4" s="95"/>
      <c r="OL4" s="95"/>
      <c r="OM4" s="95"/>
      <c r="ON4" s="95"/>
      <c r="OO4" s="95"/>
      <c r="OP4" s="95"/>
      <c r="OQ4" s="95"/>
      <c r="OR4" s="95"/>
      <c r="OS4" s="95"/>
      <c r="OT4" s="95"/>
      <c r="OU4" s="95"/>
      <c r="OV4" s="95"/>
      <c r="OW4" s="95"/>
      <c r="OX4" s="95"/>
      <c r="OY4" s="95"/>
      <c r="OZ4" s="95"/>
      <c r="PA4" s="95"/>
      <c r="PB4" s="95"/>
      <c r="PC4" s="95"/>
      <c r="PD4" s="95"/>
      <c r="PE4" s="95"/>
      <c r="PF4" s="95"/>
      <c r="PG4" s="95"/>
      <c r="PH4" s="95"/>
      <c r="PI4" s="95"/>
      <c r="PJ4" s="95"/>
      <c r="PK4" s="95"/>
      <c r="PL4" s="95"/>
      <c r="PM4" s="95"/>
      <c r="PN4" s="95"/>
      <c r="PO4" s="95"/>
      <c r="PP4" s="95"/>
      <c r="PQ4" s="95"/>
      <c r="PR4" s="95"/>
      <c r="PS4" s="95"/>
      <c r="PT4" s="95"/>
      <c r="PU4" s="95"/>
      <c r="PV4" s="95"/>
      <c r="PW4" s="95"/>
      <c r="PX4" s="95"/>
      <c r="PY4" s="95"/>
      <c r="PZ4" s="95"/>
      <c r="QA4" s="95"/>
      <c r="QB4" s="95"/>
      <c r="QC4" s="95"/>
      <c r="QD4" s="95"/>
      <c r="QE4" s="95"/>
      <c r="QF4" s="95"/>
      <c r="QG4" s="95"/>
      <c r="QH4" s="95"/>
      <c r="QI4" s="95"/>
      <c r="QJ4" s="95"/>
      <c r="QK4" s="95"/>
      <c r="QL4" s="95"/>
      <c r="QM4" s="95"/>
      <c r="QN4" s="95"/>
      <c r="QO4" s="95"/>
    </row>
    <row r="5" spans="1:457" s="110" customFormat="1" ht="25">
      <c r="B5" s="117"/>
      <c r="C5" s="118" t="s">
        <v>148</v>
      </c>
      <c r="E5" s="111"/>
      <c r="F5" s="112"/>
      <c r="G5" s="112"/>
      <c r="H5" s="112"/>
      <c r="I5" s="112"/>
      <c r="J5" s="112"/>
      <c r="K5" s="113"/>
      <c r="L5" s="111"/>
      <c r="M5" s="112"/>
      <c r="N5" s="112"/>
      <c r="O5" s="113"/>
      <c r="P5" s="111"/>
      <c r="Q5" s="112"/>
      <c r="R5" s="112"/>
      <c r="S5" s="112"/>
      <c r="T5" s="112"/>
      <c r="U5" s="113"/>
      <c r="V5" s="111"/>
      <c r="W5" s="112"/>
      <c r="X5" s="112"/>
      <c r="Y5" s="112"/>
      <c r="Z5" s="112"/>
      <c r="AA5" s="112"/>
      <c r="AB5" s="113"/>
      <c r="AC5" s="111"/>
      <c r="AD5" s="112"/>
      <c r="AE5" s="112"/>
      <c r="AF5" s="112"/>
      <c r="AG5" s="112"/>
      <c r="AH5" s="113"/>
      <c r="AI5" s="111"/>
      <c r="AJ5" s="112"/>
      <c r="AK5" s="112"/>
      <c r="AL5" s="112"/>
      <c r="AM5" s="112"/>
      <c r="AN5" s="112"/>
      <c r="AO5" s="113"/>
      <c r="AP5" s="111"/>
      <c r="AQ5" s="112"/>
      <c r="AR5" s="112"/>
      <c r="AS5" s="113"/>
      <c r="AT5" s="111"/>
      <c r="AU5" s="112"/>
      <c r="AV5" s="112"/>
      <c r="AW5" s="112"/>
      <c r="AX5" s="112"/>
      <c r="AY5" s="113"/>
      <c r="AZ5" s="111"/>
      <c r="BA5" s="112"/>
      <c r="BB5" s="112"/>
      <c r="BC5" s="112"/>
      <c r="BD5" s="112"/>
      <c r="BE5" s="112"/>
      <c r="BF5" s="113"/>
      <c r="BG5" s="111"/>
      <c r="BH5" s="112"/>
      <c r="BI5" s="112"/>
      <c r="BJ5" s="112"/>
      <c r="BK5" s="113"/>
      <c r="BL5" s="111"/>
      <c r="BM5" s="112"/>
      <c r="BN5" s="112"/>
      <c r="BO5" s="112"/>
      <c r="BP5" s="112"/>
      <c r="BQ5" s="112"/>
      <c r="BR5" s="112"/>
      <c r="BS5" s="113"/>
      <c r="BY5" s="111"/>
      <c r="BZ5" s="112"/>
      <c r="CA5" s="112"/>
      <c r="CB5" s="112"/>
      <c r="CC5" s="112"/>
      <c r="CD5" s="113"/>
      <c r="CJ5" s="111"/>
      <c r="CK5" s="112"/>
      <c r="CL5" s="113"/>
      <c r="CP5" s="111"/>
      <c r="CQ5" s="112"/>
      <c r="CR5" s="112"/>
      <c r="CS5" s="112"/>
      <c r="CT5" s="113"/>
      <c r="CU5" s="111"/>
      <c r="CV5" s="112"/>
      <c r="CW5" s="112"/>
      <c r="CX5" s="112"/>
      <c r="CY5" s="112"/>
      <c r="CZ5" s="113"/>
      <c r="DA5" s="111"/>
      <c r="DB5" s="112"/>
      <c r="DC5" s="112"/>
      <c r="DD5" s="112"/>
      <c r="DE5" s="113"/>
      <c r="DF5" s="111"/>
      <c r="DG5" s="112"/>
      <c r="DH5" s="112"/>
      <c r="DI5" s="112"/>
      <c r="DJ5" s="112"/>
      <c r="DK5" s="113"/>
      <c r="DL5" s="111"/>
      <c r="DM5" s="112"/>
      <c r="DN5" s="112"/>
      <c r="DO5" s="112"/>
      <c r="DP5" s="112"/>
      <c r="DQ5" s="113"/>
      <c r="DR5" s="111"/>
      <c r="DS5" s="112"/>
      <c r="DT5" s="112"/>
      <c r="DU5" s="112"/>
      <c r="DV5" s="112"/>
      <c r="DW5" s="113"/>
      <c r="DX5" s="111"/>
      <c r="DY5" s="112"/>
      <c r="DZ5" s="112"/>
      <c r="EA5" s="112"/>
      <c r="EB5" s="112"/>
      <c r="EC5" s="113"/>
      <c r="ED5" s="111"/>
      <c r="EE5" s="112"/>
      <c r="EF5" s="112"/>
      <c r="EG5" s="112"/>
      <c r="EH5" s="112"/>
      <c r="EI5" s="112"/>
      <c r="EJ5" s="111"/>
      <c r="EK5" s="112"/>
      <c r="EL5" s="112"/>
      <c r="EM5" s="112"/>
      <c r="EN5" s="112"/>
      <c r="EO5" s="112"/>
      <c r="EP5" s="112"/>
      <c r="EQ5" s="112"/>
      <c r="ER5" s="112"/>
      <c r="ES5" s="112"/>
      <c r="ET5" s="112"/>
      <c r="EU5" s="112"/>
      <c r="EV5" s="112"/>
      <c r="EW5" s="112"/>
      <c r="EX5" s="112"/>
      <c r="EY5" s="112"/>
      <c r="EZ5" s="114">
        <f>COLUMN()</f>
        <v>156</v>
      </c>
      <c r="FA5" s="112"/>
      <c r="FB5" s="112"/>
      <c r="FC5" s="112"/>
      <c r="FD5" s="112"/>
      <c r="FE5" s="112"/>
      <c r="FF5" s="111"/>
      <c r="FG5" s="112"/>
      <c r="FH5" s="112"/>
      <c r="FI5" s="113"/>
      <c r="FJ5" s="111"/>
      <c r="FK5" s="112"/>
      <c r="FL5" s="113"/>
      <c r="FM5" s="112"/>
      <c r="FN5" s="112"/>
      <c r="FO5" s="112"/>
      <c r="FP5" s="112"/>
      <c r="FQ5" s="112"/>
      <c r="FR5" s="111"/>
      <c r="FS5" s="112"/>
      <c r="FT5" s="112"/>
      <c r="FU5" s="112"/>
      <c r="FV5" s="113"/>
      <c r="FW5" s="112"/>
      <c r="FX5" s="112"/>
      <c r="FY5" s="112"/>
      <c r="FZ5" s="112"/>
      <c r="GA5" s="112"/>
      <c r="GB5" s="112"/>
      <c r="GC5" s="112"/>
      <c r="GD5" s="112"/>
      <c r="GE5" s="112"/>
      <c r="GF5" s="112"/>
      <c r="GG5" s="112"/>
      <c r="GH5" s="111"/>
      <c r="GI5" s="112"/>
      <c r="GJ5" s="112"/>
      <c r="GK5" s="113"/>
      <c r="GL5" s="112"/>
      <c r="GM5" s="112"/>
      <c r="GN5" s="113"/>
      <c r="GO5" s="112"/>
      <c r="GP5" s="112"/>
      <c r="GQ5" s="113"/>
      <c r="GR5" s="112"/>
      <c r="GS5" s="112"/>
      <c r="GT5" s="112"/>
      <c r="GU5" s="111"/>
      <c r="GV5" s="112"/>
      <c r="GW5" s="112"/>
      <c r="GX5" s="112"/>
      <c r="GY5" s="112"/>
      <c r="GZ5" s="112" t="s">
        <v>149</v>
      </c>
      <c r="HA5" s="112" t="s">
        <v>149</v>
      </c>
      <c r="HB5" s="112" t="s">
        <v>149</v>
      </c>
      <c r="HC5" s="112" t="s">
        <v>149</v>
      </c>
      <c r="HD5" s="112" t="s">
        <v>149</v>
      </c>
      <c r="HE5" s="112"/>
      <c r="HF5" s="112"/>
      <c r="HG5" s="112"/>
      <c r="HH5" s="112"/>
      <c r="HI5" s="112"/>
      <c r="HJ5" s="112"/>
      <c r="HK5" s="112"/>
      <c r="HL5" s="112"/>
      <c r="HM5" s="112"/>
      <c r="HN5" s="112"/>
      <c r="HO5" s="112"/>
      <c r="HP5" s="112"/>
      <c r="HQ5" s="112"/>
      <c r="HR5" s="111"/>
      <c r="HS5" s="112"/>
      <c r="HT5" s="116"/>
      <c r="HU5" s="112"/>
      <c r="HV5" s="115"/>
      <c r="HW5" s="112"/>
      <c r="HX5" s="112"/>
      <c r="HY5" s="112"/>
      <c r="HZ5" s="113"/>
      <c r="IA5" s="112"/>
      <c r="IB5" s="113"/>
      <c r="IC5" s="112"/>
      <c r="ID5" s="112"/>
      <c r="IE5" s="113"/>
      <c r="IF5" s="112"/>
      <c r="IG5" s="112"/>
      <c r="IH5" s="113"/>
      <c r="II5" s="112"/>
      <c r="IJ5" s="113"/>
      <c r="IK5" s="112"/>
      <c r="IL5" s="113"/>
      <c r="IM5" s="112"/>
      <c r="IN5" s="112"/>
      <c r="IO5" s="112"/>
      <c r="IP5" s="112"/>
      <c r="IQ5" s="112"/>
      <c r="IR5" s="112"/>
      <c r="IS5" s="112"/>
      <c r="IT5" s="112"/>
      <c r="IU5" s="112"/>
      <c r="IV5" s="112"/>
      <c r="IW5" s="112"/>
      <c r="IX5" s="111" t="s">
        <v>149</v>
      </c>
      <c r="JN5" s="95"/>
      <c r="JO5" s="95"/>
      <c r="JP5" s="95"/>
      <c r="JQ5" s="95"/>
      <c r="JR5" s="95"/>
      <c r="JS5" s="95"/>
      <c r="JT5" s="95"/>
      <c r="JU5" s="95"/>
      <c r="JV5" s="95"/>
      <c r="JW5" s="95"/>
      <c r="JX5" s="95"/>
      <c r="JY5" s="95"/>
      <c r="JZ5" s="95"/>
      <c r="KA5" s="95"/>
      <c r="KB5" s="95"/>
      <c r="KC5" s="95"/>
      <c r="KD5" s="95"/>
      <c r="KE5" s="95"/>
      <c r="KF5" s="95"/>
      <c r="KG5" s="95"/>
      <c r="KH5" s="95"/>
      <c r="KI5" s="95"/>
      <c r="KJ5" s="95"/>
      <c r="KK5" s="95"/>
      <c r="KL5" s="95"/>
      <c r="KM5" s="95"/>
      <c r="KN5" s="95"/>
      <c r="KO5" s="95"/>
      <c r="KP5" s="95"/>
      <c r="KQ5" s="95"/>
      <c r="KR5" s="95"/>
      <c r="KS5" s="95"/>
      <c r="KT5" s="95"/>
      <c r="KU5" s="95"/>
      <c r="KV5" s="95"/>
      <c r="KW5" s="95"/>
      <c r="KX5" s="95"/>
      <c r="KY5" s="95"/>
      <c r="KZ5" s="95"/>
      <c r="LA5" s="95"/>
      <c r="LB5" s="95"/>
      <c r="LC5" s="95"/>
      <c r="LD5" s="95"/>
      <c r="LE5" s="95"/>
      <c r="LF5" s="95"/>
      <c r="LG5" s="95"/>
      <c r="LH5" s="95"/>
      <c r="LI5" s="95"/>
      <c r="LJ5" s="95"/>
      <c r="LK5" s="95"/>
      <c r="LL5" s="95"/>
      <c r="LM5" s="95"/>
      <c r="LN5" s="95"/>
      <c r="LO5" s="95"/>
      <c r="LP5" s="95"/>
      <c r="LQ5" s="95"/>
      <c r="LR5" s="95"/>
      <c r="LS5" s="95"/>
      <c r="LT5" s="95"/>
      <c r="LU5" s="95"/>
      <c r="LV5" s="95"/>
      <c r="LW5" s="95"/>
      <c r="LX5" s="95"/>
      <c r="LY5" s="95"/>
      <c r="LZ5" s="95"/>
      <c r="MA5" s="95"/>
      <c r="MB5" s="95"/>
      <c r="MC5" s="95"/>
      <c r="MD5" s="95"/>
      <c r="ME5" s="95"/>
      <c r="MF5" s="95"/>
      <c r="MG5" s="95"/>
      <c r="MH5" s="95"/>
      <c r="MI5" s="95"/>
      <c r="MJ5" s="95"/>
      <c r="MK5" s="95"/>
      <c r="ML5" s="95"/>
      <c r="MM5" s="95"/>
      <c r="MN5" s="95"/>
      <c r="MO5" s="95"/>
      <c r="MP5" s="95"/>
      <c r="MQ5" s="95"/>
      <c r="MR5" s="95"/>
      <c r="MS5" s="95"/>
      <c r="MT5" s="95"/>
      <c r="MU5" s="95"/>
      <c r="MV5" s="95"/>
      <c r="MW5" s="95"/>
      <c r="MX5" s="95"/>
      <c r="MY5" s="95"/>
      <c r="MZ5" s="95"/>
      <c r="NA5" s="95"/>
      <c r="NB5" s="95"/>
      <c r="NC5" s="95"/>
      <c r="ND5" s="95"/>
      <c r="NE5" s="95"/>
      <c r="NF5" s="95"/>
      <c r="NG5" s="95"/>
      <c r="NH5" s="95"/>
      <c r="NI5" s="95"/>
      <c r="NJ5" s="95"/>
      <c r="NK5" s="95"/>
      <c r="NL5" s="95"/>
      <c r="NM5" s="95"/>
      <c r="NN5" s="95"/>
      <c r="NO5" s="95"/>
      <c r="NP5" s="95"/>
      <c r="NQ5" s="95"/>
      <c r="NR5" s="95"/>
      <c r="NS5" s="95"/>
      <c r="NT5" s="95"/>
      <c r="NU5" s="95"/>
      <c r="NV5" s="95"/>
      <c r="NW5" s="95"/>
      <c r="NX5" s="95"/>
      <c r="NY5" s="95"/>
      <c r="NZ5" s="95"/>
      <c r="OA5" s="95"/>
      <c r="OB5" s="95"/>
      <c r="OC5" s="95"/>
      <c r="OD5" s="95"/>
      <c r="OE5" s="95"/>
      <c r="OF5" s="95"/>
      <c r="OG5" s="95"/>
      <c r="OH5" s="95"/>
      <c r="OI5" s="95"/>
      <c r="OJ5" s="95"/>
      <c r="OK5" s="95"/>
      <c r="OL5" s="95"/>
      <c r="OM5" s="95"/>
      <c r="ON5" s="95"/>
      <c r="OO5" s="95"/>
      <c r="OP5" s="95"/>
      <c r="OQ5" s="95"/>
      <c r="OR5" s="95"/>
      <c r="OS5" s="95"/>
      <c r="OT5" s="95"/>
      <c r="OU5" s="95"/>
      <c r="OV5" s="95"/>
      <c r="OW5" s="95"/>
      <c r="OX5" s="95"/>
      <c r="OY5" s="95"/>
      <c r="OZ5" s="95"/>
      <c r="PA5" s="95"/>
      <c r="PB5" s="95"/>
      <c r="PC5" s="95"/>
      <c r="PD5" s="95"/>
      <c r="PE5" s="95"/>
      <c r="PF5" s="95"/>
      <c r="PG5" s="95"/>
      <c r="PH5" s="95"/>
      <c r="PI5" s="95"/>
      <c r="PJ5" s="95"/>
      <c r="PK5" s="95"/>
      <c r="PL5" s="95"/>
      <c r="PM5" s="95"/>
      <c r="PN5" s="95"/>
      <c r="PO5" s="95"/>
      <c r="PP5" s="95"/>
      <c r="PQ5" s="95"/>
      <c r="PR5" s="95"/>
      <c r="PS5" s="95"/>
      <c r="PT5" s="95"/>
      <c r="PU5" s="95"/>
      <c r="PV5" s="95"/>
      <c r="PW5" s="95"/>
      <c r="PX5" s="95"/>
      <c r="PY5" s="95"/>
      <c r="PZ5" s="95"/>
      <c r="QA5" s="95"/>
      <c r="QB5" s="95"/>
      <c r="QC5" s="95"/>
      <c r="QD5" s="95"/>
      <c r="QE5" s="95"/>
      <c r="QF5" s="95"/>
      <c r="QG5" s="95"/>
      <c r="QH5" s="95"/>
      <c r="QI5" s="95"/>
      <c r="QJ5" s="95"/>
      <c r="QK5" s="95"/>
      <c r="QL5" s="95"/>
      <c r="QM5" s="95"/>
      <c r="QN5" s="95"/>
      <c r="QO5" s="95"/>
    </row>
    <row r="6" spans="1:457" s="110" customFormat="1" ht="104">
      <c r="B6" s="96"/>
      <c r="C6" s="118" t="s">
        <v>150</v>
      </c>
      <c r="E6" s="111"/>
      <c r="F6" s="112"/>
      <c r="G6" s="112"/>
      <c r="H6" s="112"/>
      <c r="I6" s="112"/>
      <c r="J6" s="112"/>
      <c r="K6" s="113"/>
      <c r="L6" s="111"/>
      <c r="M6" s="112"/>
      <c r="N6" s="112"/>
      <c r="O6" s="113"/>
      <c r="P6" s="111"/>
      <c r="Q6" s="112"/>
      <c r="R6" s="112"/>
      <c r="S6" s="112"/>
      <c r="T6" s="112"/>
      <c r="U6" s="113"/>
      <c r="V6" s="111"/>
      <c r="W6" s="112"/>
      <c r="X6" s="112"/>
      <c r="Y6" s="112"/>
      <c r="Z6" s="112"/>
      <c r="AA6" s="112"/>
      <c r="AB6" s="113"/>
      <c r="AC6" s="111"/>
      <c r="AD6" s="112"/>
      <c r="AE6" s="112"/>
      <c r="AF6" s="112"/>
      <c r="AG6" s="112"/>
      <c r="AH6" s="113"/>
      <c r="AI6" s="111"/>
      <c r="AJ6" s="112"/>
      <c r="AK6" s="112"/>
      <c r="AL6" s="112"/>
      <c r="AM6" s="112"/>
      <c r="AN6" s="112"/>
      <c r="AO6" s="113"/>
      <c r="AP6" s="111"/>
      <c r="AQ6" s="112"/>
      <c r="AR6" s="112"/>
      <c r="AS6" s="113"/>
      <c r="AT6" s="111"/>
      <c r="AU6" s="112"/>
      <c r="AV6" s="112"/>
      <c r="AW6" s="112"/>
      <c r="AX6" s="112"/>
      <c r="AY6" s="113"/>
      <c r="AZ6" s="111"/>
      <c r="BA6" s="112"/>
      <c r="BB6" s="112"/>
      <c r="BC6" s="112"/>
      <c r="BD6" s="112"/>
      <c r="BE6" s="112"/>
      <c r="BF6" s="113"/>
      <c r="BG6" s="111"/>
      <c r="BH6" s="112"/>
      <c r="BI6" s="112"/>
      <c r="BJ6" s="112"/>
      <c r="BK6" s="113"/>
      <c r="BL6" s="111"/>
      <c r="BM6" s="112"/>
      <c r="BN6" s="112"/>
      <c r="BO6" s="112"/>
      <c r="BP6" s="112"/>
      <c r="BQ6" s="112"/>
      <c r="BR6" s="112"/>
      <c r="BS6" s="113"/>
      <c r="BY6" s="111"/>
      <c r="BZ6" s="112"/>
      <c r="CA6" s="112"/>
      <c r="CB6" s="112"/>
      <c r="CC6" s="112"/>
      <c r="CD6" s="113"/>
      <c r="CJ6" s="111"/>
      <c r="CK6" s="112"/>
      <c r="CL6" s="113"/>
      <c r="CP6" s="111"/>
      <c r="CQ6" s="112"/>
      <c r="CR6" s="112"/>
      <c r="CS6" s="112"/>
      <c r="CT6" s="113"/>
      <c r="CU6" s="111"/>
      <c r="CV6" s="112"/>
      <c r="CW6" s="112"/>
      <c r="CX6" s="112"/>
      <c r="CY6" s="112"/>
      <c r="CZ6" s="113"/>
      <c r="DA6" s="111"/>
      <c r="DB6" s="112"/>
      <c r="DC6" s="112"/>
      <c r="DD6" s="112"/>
      <c r="DE6" s="113"/>
      <c r="DF6" s="111"/>
      <c r="DG6" s="112"/>
      <c r="DH6" s="112"/>
      <c r="DI6" s="112"/>
      <c r="DJ6" s="112"/>
      <c r="DK6" s="113"/>
      <c r="DL6" s="111"/>
      <c r="DM6" s="112"/>
      <c r="DN6" s="112"/>
      <c r="DO6" s="112"/>
      <c r="DP6" s="112"/>
      <c r="DQ6" s="113"/>
      <c r="DR6" s="111"/>
      <c r="DS6" s="112"/>
      <c r="DT6" s="112"/>
      <c r="DU6" s="112"/>
      <c r="DV6" s="112"/>
      <c r="DW6" s="113"/>
      <c r="DX6" s="111"/>
      <c r="DY6" s="112"/>
      <c r="DZ6" s="112"/>
      <c r="EA6" s="112"/>
      <c r="EB6" s="112"/>
      <c r="EC6" s="113"/>
      <c r="ED6" s="111"/>
      <c r="EE6" s="112"/>
      <c r="EF6" s="112"/>
      <c r="EG6" s="112"/>
      <c r="EH6" s="112"/>
      <c r="EI6" s="112"/>
      <c r="EJ6" s="111"/>
      <c r="EK6" s="112"/>
      <c r="EL6" s="112"/>
      <c r="EM6" s="112"/>
      <c r="EN6" s="112"/>
      <c r="EO6" s="112"/>
      <c r="EP6" s="112"/>
      <c r="EQ6" s="112"/>
      <c r="ER6" s="112"/>
      <c r="ES6" s="112"/>
      <c r="ET6" s="112"/>
      <c r="EU6" s="112"/>
      <c r="EV6" s="112"/>
      <c r="EW6" s="112"/>
      <c r="EX6" s="112"/>
      <c r="EY6" s="112"/>
      <c r="EZ6" s="114" t="s">
        <v>151</v>
      </c>
      <c r="FA6" s="112" t="s">
        <v>151</v>
      </c>
      <c r="FB6" s="112"/>
      <c r="FC6" s="112" t="s">
        <v>151</v>
      </c>
      <c r="FD6" s="112" t="s">
        <v>151</v>
      </c>
      <c r="FE6" s="112" t="s">
        <v>151</v>
      </c>
      <c r="FF6" s="111"/>
      <c r="FG6" s="112"/>
      <c r="FH6" s="112"/>
      <c r="FI6" s="113"/>
      <c r="FJ6" s="111"/>
      <c r="FK6" s="112"/>
      <c r="FL6" s="113"/>
      <c r="FM6" s="112" t="s">
        <v>155</v>
      </c>
      <c r="FN6" s="112" t="s">
        <v>155</v>
      </c>
      <c r="FO6" s="112" t="s">
        <v>155</v>
      </c>
      <c r="FP6" s="112" t="s">
        <v>155</v>
      </c>
      <c r="FQ6" s="112" t="s">
        <v>155</v>
      </c>
      <c r="FR6" s="111" t="s">
        <v>152</v>
      </c>
      <c r="FS6" s="112" t="s">
        <v>152</v>
      </c>
      <c r="FT6" s="112" t="s">
        <v>152</v>
      </c>
      <c r="FU6" s="112" t="s">
        <v>152</v>
      </c>
      <c r="FV6" s="113" t="s">
        <v>152</v>
      </c>
      <c r="FW6" s="112"/>
      <c r="FX6" s="112"/>
      <c r="FY6" s="112"/>
      <c r="FZ6" s="112" t="s">
        <v>153</v>
      </c>
      <c r="GA6" s="112" t="s">
        <v>593</v>
      </c>
      <c r="GB6" s="112" t="s">
        <v>593</v>
      </c>
      <c r="GC6" s="112"/>
      <c r="GD6" s="112" t="s">
        <v>154</v>
      </c>
      <c r="GE6" s="112"/>
      <c r="GF6" s="112"/>
      <c r="GG6" s="112"/>
      <c r="GH6" s="111"/>
      <c r="GI6" s="112"/>
      <c r="GJ6" s="112"/>
      <c r="GK6" s="113"/>
      <c r="GL6" s="112"/>
      <c r="GM6" s="112"/>
      <c r="GN6" s="113"/>
      <c r="GO6" s="112"/>
      <c r="GP6" s="112"/>
      <c r="GQ6" s="113"/>
      <c r="GR6" s="112"/>
      <c r="GS6" s="112"/>
      <c r="GT6" s="112"/>
      <c r="GU6" s="111"/>
      <c r="GV6" s="112"/>
      <c r="GW6" s="112"/>
      <c r="GX6" s="112"/>
      <c r="GY6" s="112"/>
      <c r="GZ6" s="112" t="s">
        <v>155</v>
      </c>
      <c r="HA6" s="112" t="s">
        <v>156</v>
      </c>
      <c r="HB6" s="112" t="s">
        <v>157</v>
      </c>
      <c r="HC6" s="112" t="s">
        <v>158</v>
      </c>
      <c r="HD6" s="112" t="s">
        <v>152</v>
      </c>
      <c r="HE6" s="112"/>
      <c r="HF6" s="112"/>
      <c r="HG6" s="112"/>
      <c r="HH6" s="112"/>
      <c r="HI6" s="112"/>
      <c r="HJ6" s="112"/>
      <c r="HK6" s="112"/>
      <c r="HL6" s="112"/>
      <c r="HM6" s="112"/>
      <c r="HN6" s="112"/>
      <c r="HO6" s="112"/>
      <c r="HP6" s="112"/>
      <c r="HQ6" s="112"/>
      <c r="HR6" s="111"/>
      <c r="HS6" s="112" t="s">
        <v>152</v>
      </c>
      <c r="HT6" s="116"/>
      <c r="HU6" s="112"/>
      <c r="HV6" s="115"/>
      <c r="HW6" s="112"/>
      <c r="HX6" s="112"/>
      <c r="HY6" s="112"/>
      <c r="HZ6" s="113"/>
      <c r="IA6" s="112"/>
      <c r="IB6" s="113"/>
      <c r="IC6" s="112"/>
      <c r="ID6" s="112"/>
      <c r="IE6" s="113"/>
      <c r="IF6" s="112"/>
      <c r="IG6" s="112"/>
      <c r="IH6" s="113"/>
      <c r="II6" s="112"/>
      <c r="IJ6" s="113"/>
      <c r="IK6" s="112"/>
      <c r="IL6" s="113"/>
      <c r="IM6" s="112"/>
      <c r="IN6" s="112"/>
      <c r="IO6" s="112"/>
      <c r="IP6" s="112"/>
      <c r="IQ6" s="112"/>
      <c r="IR6" s="112"/>
      <c r="IS6" s="112"/>
      <c r="IT6" s="112"/>
      <c r="IU6" s="112"/>
      <c r="IV6" s="112"/>
      <c r="IW6" s="112"/>
      <c r="IX6" s="111" t="s">
        <v>159</v>
      </c>
      <c r="IZ6" s="110" t="s">
        <v>160</v>
      </c>
      <c r="JA6" s="110" t="s">
        <v>154</v>
      </c>
      <c r="JF6" s="110" t="s">
        <v>159</v>
      </c>
      <c r="JN6" s="95"/>
      <c r="JO6" s="95"/>
      <c r="JP6" s="95"/>
      <c r="JQ6" s="95"/>
      <c r="JR6" s="95"/>
      <c r="JS6" s="95"/>
      <c r="JT6" s="95"/>
      <c r="JU6" s="95"/>
      <c r="JV6" s="95"/>
      <c r="JW6" s="95"/>
      <c r="JX6" s="95"/>
      <c r="JY6" s="95"/>
      <c r="JZ6" s="95"/>
      <c r="KA6" s="95"/>
      <c r="KB6" s="95"/>
      <c r="KC6" s="95"/>
      <c r="KD6" s="95"/>
      <c r="KE6" s="95"/>
      <c r="KF6" s="95"/>
      <c r="KG6" s="95"/>
      <c r="KH6" s="95"/>
      <c r="KI6" s="95"/>
      <c r="KJ6" s="95"/>
      <c r="KK6" s="95"/>
      <c r="KL6" s="95"/>
      <c r="KM6" s="95"/>
      <c r="KN6" s="95"/>
      <c r="KO6" s="95"/>
      <c r="KP6" s="95"/>
      <c r="KQ6" s="95"/>
      <c r="KR6" s="95"/>
      <c r="KS6" s="95"/>
      <c r="KT6" s="95"/>
      <c r="KU6" s="95"/>
      <c r="KV6" s="95"/>
      <c r="KW6" s="95"/>
      <c r="KX6" s="95"/>
      <c r="KY6" s="95"/>
      <c r="KZ6" s="95"/>
      <c r="LA6" s="95"/>
      <c r="LB6" s="95"/>
      <c r="LC6" s="95"/>
      <c r="LD6" s="95"/>
      <c r="LE6" s="95"/>
      <c r="LF6" s="95"/>
      <c r="LG6" s="95"/>
      <c r="LH6" s="95"/>
      <c r="LI6" s="95"/>
      <c r="LJ6" s="95"/>
      <c r="LK6" s="95"/>
      <c r="LL6" s="95"/>
      <c r="LM6" s="95"/>
      <c r="LN6" s="95"/>
      <c r="LO6" s="95"/>
      <c r="LP6" s="95"/>
      <c r="LQ6" s="95"/>
      <c r="LR6" s="95"/>
      <c r="LS6" s="95"/>
      <c r="LT6" s="95"/>
      <c r="LU6" s="95"/>
      <c r="LV6" s="95"/>
      <c r="LW6" s="95"/>
      <c r="LX6" s="95"/>
      <c r="LY6" s="95"/>
      <c r="LZ6" s="95"/>
      <c r="MA6" s="95"/>
      <c r="MB6" s="95"/>
      <c r="MC6" s="95"/>
      <c r="MD6" s="95"/>
      <c r="ME6" s="95"/>
      <c r="MF6" s="95"/>
      <c r="MG6" s="95"/>
      <c r="MH6" s="95"/>
      <c r="MI6" s="95"/>
      <c r="MJ6" s="95"/>
      <c r="MK6" s="95"/>
      <c r="ML6" s="95"/>
      <c r="MM6" s="95"/>
      <c r="MN6" s="95"/>
      <c r="MO6" s="95"/>
      <c r="MP6" s="95"/>
      <c r="MQ6" s="95"/>
      <c r="MR6" s="95"/>
      <c r="MS6" s="95"/>
      <c r="MT6" s="95"/>
      <c r="MU6" s="95"/>
      <c r="MV6" s="95"/>
      <c r="MW6" s="95"/>
      <c r="MX6" s="95"/>
      <c r="MY6" s="95"/>
      <c r="MZ6" s="95"/>
      <c r="NA6" s="95"/>
      <c r="NB6" s="95"/>
      <c r="NC6" s="95"/>
      <c r="ND6" s="95"/>
      <c r="NE6" s="95"/>
      <c r="NF6" s="95"/>
      <c r="NG6" s="95"/>
      <c r="NH6" s="95"/>
      <c r="NI6" s="95"/>
      <c r="NJ6" s="95"/>
      <c r="NK6" s="95"/>
      <c r="NL6" s="95"/>
      <c r="NM6" s="95"/>
      <c r="NN6" s="95"/>
      <c r="NO6" s="95"/>
      <c r="NP6" s="95"/>
      <c r="NQ6" s="95"/>
      <c r="NR6" s="95"/>
      <c r="NS6" s="95"/>
      <c r="NT6" s="95"/>
      <c r="NU6" s="95"/>
      <c r="NV6" s="95"/>
      <c r="NW6" s="95"/>
      <c r="NX6" s="95"/>
      <c r="NY6" s="95"/>
      <c r="NZ6" s="95"/>
      <c r="OA6" s="95"/>
      <c r="OB6" s="95"/>
      <c r="OC6" s="95"/>
      <c r="OD6" s="95"/>
      <c r="OE6" s="95"/>
      <c r="OF6" s="95"/>
      <c r="OG6" s="95"/>
      <c r="OH6" s="95"/>
      <c r="OI6" s="95"/>
      <c r="OJ6" s="95"/>
      <c r="OK6" s="95"/>
      <c r="OL6" s="95"/>
      <c r="OM6" s="95"/>
      <c r="ON6" s="95"/>
      <c r="OO6" s="95"/>
      <c r="OP6" s="95"/>
      <c r="OQ6" s="95"/>
      <c r="OR6" s="95"/>
      <c r="OS6" s="95"/>
      <c r="OT6" s="95"/>
      <c r="OU6" s="95"/>
      <c r="OV6" s="95"/>
      <c r="OW6" s="95"/>
      <c r="OX6" s="95"/>
      <c r="OY6" s="95"/>
      <c r="OZ6" s="95"/>
      <c r="PA6" s="95"/>
      <c r="PB6" s="95"/>
      <c r="PC6" s="95"/>
      <c r="PD6" s="95"/>
      <c r="PE6" s="95"/>
      <c r="PF6" s="95"/>
      <c r="PG6" s="95"/>
      <c r="PH6" s="95"/>
      <c r="PI6" s="95"/>
      <c r="PJ6" s="95"/>
      <c r="PK6" s="95"/>
      <c r="PL6" s="95"/>
      <c r="PM6" s="95"/>
      <c r="PN6" s="95"/>
      <c r="PO6" s="95"/>
      <c r="PP6" s="95"/>
      <c r="PQ6" s="95"/>
      <c r="PR6" s="95"/>
      <c r="PS6" s="95"/>
      <c r="PT6" s="95"/>
      <c r="PU6" s="95"/>
      <c r="PV6" s="95"/>
      <c r="PW6" s="95"/>
      <c r="PX6" s="95"/>
      <c r="PY6" s="95"/>
      <c r="PZ6" s="95"/>
      <c r="QA6" s="95"/>
      <c r="QB6" s="95"/>
      <c r="QC6" s="95"/>
      <c r="QD6" s="95"/>
      <c r="QE6" s="95"/>
      <c r="QF6" s="95"/>
      <c r="QG6" s="95"/>
      <c r="QH6" s="95"/>
      <c r="QI6" s="95"/>
      <c r="QJ6" s="95"/>
      <c r="QK6" s="95"/>
      <c r="QL6" s="95"/>
      <c r="QM6" s="95"/>
      <c r="QN6" s="95"/>
      <c r="QO6" s="95"/>
    </row>
    <row r="7" spans="1:457" s="117" customFormat="1">
      <c r="B7" s="96"/>
      <c r="C7" s="118" t="s">
        <v>161</v>
      </c>
      <c r="E7" s="111"/>
      <c r="F7" s="112"/>
      <c r="G7" s="112"/>
      <c r="H7" s="112"/>
      <c r="I7" s="112"/>
      <c r="J7" s="112"/>
      <c r="K7" s="113"/>
      <c r="L7" s="111"/>
      <c r="M7" s="112"/>
      <c r="N7" s="112"/>
      <c r="O7" s="113"/>
      <c r="P7" s="111"/>
      <c r="Q7" s="112"/>
      <c r="R7" s="112"/>
      <c r="S7" s="112"/>
      <c r="T7" s="112"/>
      <c r="U7" s="113"/>
      <c r="V7" s="111"/>
      <c r="W7" s="112"/>
      <c r="X7" s="112"/>
      <c r="Y7" s="112"/>
      <c r="Z7" s="112"/>
      <c r="AA7" s="112"/>
      <c r="AB7" s="113"/>
      <c r="AC7" s="111"/>
      <c r="AD7" s="112"/>
      <c r="AE7" s="112"/>
      <c r="AF7" s="112"/>
      <c r="AG7" s="112"/>
      <c r="AH7" s="113"/>
      <c r="AI7" s="111"/>
      <c r="AJ7" s="112"/>
      <c r="AK7" s="112"/>
      <c r="AL7" s="112"/>
      <c r="AM7" s="112"/>
      <c r="AN7" s="112"/>
      <c r="AO7" s="113"/>
      <c r="AP7" s="111"/>
      <c r="AQ7" s="112"/>
      <c r="AR7" s="112"/>
      <c r="AS7" s="113"/>
      <c r="AT7" s="111"/>
      <c r="AU7" s="112"/>
      <c r="AV7" s="112"/>
      <c r="AW7" s="112"/>
      <c r="AX7" s="112"/>
      <c r="AY7" s="113"/>
      <c r="AZ7" s="111"/>
      <c r="BA7" s="112"/>
      <c r="BB7" s="112"/>
      <c r="BC7" s="112"/>
      <c r="BD7" s="112"/>
      <c r="BE7" s="112"/>
      <c r="BF7" s="113"/>
      <c r="BG7" s="111"/>
      <c r="BH7" s="112"/>
      <c r="BI7" s="112"/>
      <c r="BJ7" s="112"/>
      <c r="BK7" s="113"/>
      <c r="BL7" s="111"/>
      <c r="BM7" s="112"/>
      <c r="BN7" s="112"/>
      <c r="BO7" s="112"/>
      <c r="BP7" s="112"/>
      <c r="BQ7" s="112"/>
      <c r="BR7" s="112"/>
      <c r="BS7" s="113"/>
      <c r="BT7" s="110"/>
      <c r="BU7" s="110"/>
      <c r="BV7" s="110"/>
      <c r="BW7" s="110"/>
      <c r="BX7" s="110"/>
      <c r="BY7" s="111"/>
      <c r="BZ7" s="112"/>
      <c r="CA7" s="112"/>
      <c r="CB7" s="112"/>
      <c r="CC7" s="112"/>
      <c r="CD7" s="113"/>
      <c r="CE7" s="110"/>
      <c r="CF7" s="110"/>
      <c r="CG7" s="110"/>
      <c r="CH7" s="110"/>
      <c r="CI7" s="110"/>
      <c r="CJ7" s="111"/>
      <c r="CK7" s="112"/>
      <c r="CL7" s="113"/>
      <c r="CM7" s="110"/>
      <c r="CN7" s="110"/>
      <c r="CO7" s="110"/>
      <c r="CP7" s="111"/>
      <c r="CQ7" s="112"/>
      <c r="CR7" s="112"/>
      <c r="CS7" s="112"/>
      <c r="CT7" s="113"/>
      <c r="CU7" s="111"/>
      <c r="CV7" s="112"/>
      <c r="CW7" s="112"/>
      <c r="CX7" s="112"/>
      <c r="CY7" s="112"/>
      <c r="CZ7" s="113"/>
      <c r="DA7" s="111"/>
      <c r="DB7" s="112"/>
      <c r="DC7" s="112"/>
      <c r="DD7" s="112"/>
      <c r="DE7" s="113"/>
      <c r="DF7" s="111"/>
      <c r="DG7" s="112"/>
      <c r="DH7" s="112"/>
      <c r="DI7" s="112"/>
      <c r="DJ7" s="112"/>
      <c r="DK7" s="113"/>
      <c r="DL7" s="111"/>
      <c r="DM7" s="112"/>
      <c r="DN7" s="112"/>
      <c r="DO7" s="112"/>
      <c r="DP7" s="112"/>
      <c r="DQ7" s="113"/>
      <c r="DR7" s="111"/>
      <c r="DS7" s="112"/>
      <c r="DT7" s="112"/>
      <c r="DU7" s="112"/>
      <c r="DV7" s="112"/>
      <c r="DW7" s="113"/>
      <c r="DX7" s="111"/>
      <c r="DY7" s="112"/>
      <c r="DZ7" s="112"/>
      <c r="EA7" s="112"/>
      <c r="EB7" s="112"/>
      <c r="EC7" s="113"/>
      <c r="ED7" s="111"/>
      <c r="EE7" s="112"/>
      <c r="EF7" s="112"/>
      <c r="EG7" s="112"/>
      <c r="EH7" s="112"/>
      <c r="EI7" s="112"/>
      <c r="EJ7" s="111"/>
      <c r="EK7" s="112"/>
      <c r="EL7" s="112"/>
      <c r="EM7" s="112"/>
      <c r="EN7" s="112"/>
      <c r="EO7" s="112"/>
      <c r="EP7" s="112"/>
      <c r="EQ7" s="112"/>
      <c r="ER7" s="112"/>
      <c r="ES7" s="112"/>
      <c r="ET7" s="112"/>
      <c r="EU7" s="112"/>
      <c r="EV7" s="112"/>
      <c r="EW7" s="112"/>
      <c r="EX7" s="112"/>
      <c r="EY7" s="112"/>
      <c r="EZ7" s="114" t="s">
        <v>149</v>
      </c>
      <c r="FA7" s="112" t="s">
        <v>149</v>
      </c>
      <c r="FB7" s="112"/>
      <c r="FC7" s="112" t="s">
        <v>149</v>
      </c>
      <c r="FD7" s="112" t="s">
        <v>149</v>
      </c>
      <c r="FE7" s="112" t="s">
        <v>149</v>
      </c>
      <c r="FF7" s="111" t="s">
        <v>149</v>
      </c>
      <c r="FG7" s="112" t="s">
        <v>149</v>
      </c>
      <c r="FH7" s="112" t="s">
        <v>149</v>
      </c>
      <c r="FI7" s="113" t="s">
        <v>149</v>
      </c>
      <c r="FJ7" s="111"/>
      <c r="FK7" s="112"/>
      <c r="FL7" s="113"/>
      <c r="FM7" s="112" t="s">
        <v>149</v>
      </c>
      <c r="FN7" s="112" t="s">
        <v>149</v>
      </c>
      <c r="FO7" s="112" t="s">
        <v>149</v>
      </c>
      <c r="FP7" s="112" t="s">
        <v>149</v>
      </c>
      <c r="FQ7" s="112" t="s">
        <v>149</v>
      </c>
      <c r="FR7" s="111" t="s">
        <v>149</v>
      </c>
      <c r="FS7" s="112" t="s">
        <v>149</v>
      </c>
      <c r="FT7" s="112" t="s">
        <v>149</v>
      </c>
      <c r="FU7" s="112" t="s">
        <v>149</v>
      </c>
      <c r="FV7" s="113" t="s">
        <v>149</v>
      </c>
      <c r="FW7" s="112" t="s">
        <v>149</v>
      </c>
      <c r="FX7" s="112" t="s">
        <v>149</v>
      </c>
      <c r="FY7" s="112" t="s">
        <v>149</v>
      </c>
      <c r="FZ7" s="112"/>
      <c r="GA7" s="112" t="s">
        <v>149</v>
      </c>
      <c r="GB7" s="112" t="s">
        <v>149</v>
      </c>
      <c r="GC7" s="112" t="s">
        <v>149</v>
      </c>
      <c r="GD7" s="112" t="s">
        <v>149</v>
      </c>
      <c r="GE7" s="112" t="s">
        <v>149</v>
      </c>
      <c r="GF7" s="112" t="s">
        <v>149</v>
      </c>
      <c r="GG7" s="112" t="s">
        <v>149</v>
      </c>
      <c r="GH7" s="111"/>
      <c r="GI7" s="112"/>
      <c r="GJ7" s="112"/>
      <c r="GK7" s="113"/>
      <c r="GL7" s="112"/>
      <c r="GM7" s="112"/>
      <c r="GN7" s="113"/>
      <c r="GO7" s="112"/>
      <c r="GP7" s="112"/>
      <c r="GQ7" s="113"/>
      <c r="GR7" s="112"/>
      <c r="GS7" s="112"/>
      <c r="GT7" s="112"/>
      <c r="GU7" s="111"/>
      <c r="GV7" s="112"/>
      <c r="GW7" s="112"/>
      <c r="GX7" s="112"/>
      <c r="GY7" s="112"/>
      <c r="GZ7" s="112" t="s">
        <v>149</v>
      </c>
      <c r="HA7" s="112" t="s">
        <v>149</v>
      </c>
      <c r="HB7" s="112" t="s">
        <v>149</v>
      </c>
      <c r="HC7" s="112" t="s">
        <v>149</v>
      </c>
      <c r="HD7" s="112" t="s">
        <v>149</v>
      </c>
      <c r="HE7" s="112"/>
      <c r="HF7" s="112" t="s">
        <v>149</v>
      </c>
      <c r="HG7" s="112" t="s">
        <v>149</v>
      </c>
      <c r="HH7" s="112" t="s">
        <v>149</v>
      </c>
      <c r="HI7" s="112" t="s">
        <v>149</v>
      </c>
      <c r="HJ7" s="112" t="s">
        <v>149</v>
      </c>
      <c r="HK7" s="112" t="s">
        <v>149</v>
      </c>
      <c r="HL7" s="112"/>
      <c r="HM7" s="112" t="s">
        <v>149</v>
      </c>
      <c r="HN7" s="112"/>
      <c r="HO7" s="112"/>
      <c r="HP7" s="112"/>
      <c r="HQ7" s="112"/>
      <c r="HR7" s="111" t="s">
        <v>149</v>
      </c>
      <c r="HS7" s="112" t="s">
        <v>149</v>
      </c>
      <c r="HT7" s="116" t="s">
        <v>149</v>
      </c>
      <c r="HU7" s="112" t="s">
        <v>149</v>
      </c>
      <c r="HV7" s="115" t="s">
        <v>149</v>
      </c>
      <c r="HW7" s="112"/>
      <c r="HX7" s="112"/>
      <c r="HY7" s="112"/>
      <c r="HZ7" s="113"/>
      <c r="IA7" s="112"/>
      <c r="IB7" s="113"/>
      <c r="IC7" s="112"/>
      <c r="ID7" s="112"/>
      <c r="IE7" s="113"/>
      <c r="IF7" s="112"/>
      <c r="IG7" s="112"/>
      <c r="IH7" s="113"/>
      <c r="II7" s="112"/>
      <c r="IJ7" s="113"/>
      <c r="IK7" s="112"/>
      <c r="IL7" s="113"/>
      <c r="IM7" s="112"/>
      <c r="IN7" s="112"/>
      <c r="IO7" s="112"/>
      <c r="IP7" s="112"/>
      <c r="IQ7" s="112"/>
      <c r="IR7" s="112"/>
      <c r="IS7" s="112"/>
      <c r="IT7" s="112"/>
      <c r="IU7" s="112"/>
      <c r="IV7" s="112"/>
      <c r="IW7" s="112"/>
      <c r="IX7" s="111" t="s">
        <v>149</v>
      </c>
      <c r="IY7" s="110"/>
      <c r="IZ7" s="110" t="s">
        <v>149</v>
      </c>
      <c r="JA7" s="110"/>
      <c r="JB7" s="110"/>
      <c r="JC7" s="110"/>
      <c r="JD7" s="110"/>
      <c r="JE7" s="110"/>
      <c r="JF7" s="110"/>
      <c r="JG7" s="110"/>
      <c r="JH7" s="110"/>
      <c r="JI7" s="110"/>
      <c r="JJ7" s="110"/>
      <c r="JK7" s="110"/>
      <c r="JL7" s="110"/>
      <c r="JM7" s="110"/>
      <c r="JN7" s="95"/>
      <c r="JO7" s="95"/>
      <c r="JP7" s="95"/>
      <c r="JQ7" s="95"/>
      <c r="JR7" s="95"/>
      <c r="JS7" s="95"/>
      <c r="JT7" s="95"/>
      <c r="JU7" s="95"/>
      <c r="JV7" s="95"/>
      <c r="JW7" s="95"/>
      <c r="JX7" s="95"/>
      <c r="JY7" s="95"/>
      <c r="JZ7" s="95"/>
      <c r="KA7" s="95"/>
      <c r="KB7" s="95"/>
      <c r="KC7" s="95"/>
      <c r="KD7" s="95"/>
      <c r="KE7" s="95"/>
      <c r="KF7" s="95"/>
      <c r="KG7" s="95"/>
      <c r="KH7" s="95"/>
      <c r="KI7" s="95"/>
      <c r="KJ7" s="95"/>
      <c r="KK7" s="95"/>
      <c r="KL7" s="95"/>
      <c r="KM7" s="95"/>
      <c r="KN7" s="95"/>
      <c r="KO7" s="95"/>
      <c r="KP7" s="95"/>
      <c r="KQ7" s="95"/>
      <c r="KR7" s="95"/>
      <c r="KS7" s="95"/>
      <c r="KT7" s="95"/>
      <c r="KU7" s="95"/>
      <c r="KV7" s="95"/>
      <c r="KW7" s="95"/>
      <c r="KX7" s="95"/>
      <c r="KY7" s="95"/>
      <c r="KZ7" s="95"/>
      <c r="LA7" s="95"/>
      <c r="LB7" s="95"/>
      <c r="LC7" s="95"/>
      <c r="LD7" s="95"/>
      <c r="LE7" s="95"/>
      <c r="LF7" s="95"/>
      <c r="LG7" s="95"/>
      <c r="LH7" s="95"/>
      <c r="LI7" s="95"/>
      <c r="LJ7" s="95"/>
      <c r="LK7" s="95"/>
      <c r="LL7" s="95"/>
      <c r="LM7" s="95"/>
      <c r="LN7" s="95"/>
      <c r="LO7" s="95"/>
      <c r="LP7" s="95"/>
      <c r="LQ7" s="95"/>
      <c r="LR7" s="95"/>
      <c r="LS7" s="95"/>
      <c r="LT7" s="95"/>
      <c r="LU7" s="95"/>
      <c r="LV7" s="95"/>
      <c r="LW7" s="95"/>
      <c r="LX7" s="95"/>
      <c r="LY7" s="95"/>
      <c r="LZ7" s="95"/>
      <c r="MA7" s="95"/>
      <c r="MB7" s="95"/>
      <c r="MC7" s="95"/>
      <c r="MD7" s="95"/>
      <c r="ME7" s="95"/>
      <c r="MF7" s="95"/>
      <c r="MG7" s="95"/>
      <c r="MH7" s="95"/>
      <c r="MI7" s="95"/>
      <c r="MJ7" s="95"/>
      <c r="MK7" s="95"/>
      <c r="ML7" s="95"/>
      <c r="MM7" s="95"/>
      <c r="MN7" s="95"/>
      <c r="MO7" s="95"/>
      <c r="MP7" s="95"/>
      <c r="MQ7" s="95"/>
      <c r="MR7" s="95"/>
      <c r="MS7" s="95"/>
      <c r="MT7" s="95"/>
      <c r="MU7" s="95"/>
      <c r="MV7" s="95"/>
      <c r="MW7" s="95"/>
      <c r="MX7" s="95"/>
      <c r="MY7" s="95"/>
      <c r="MZ7" s="95"/>
      <c r="NA7" s="95"/>
      <c r="NB7" s="95"/>
      <c r="NC7" s="95"/>
      <c r="ND7" s="95"/>
      <c r="NE7" s="95"/>
      <c r="NF7" s="95"/>
      <c r="NG7" s="95"/>
      <c r="NH7" s="95"/>
      <c r="NI7" s="95"/>
      <c r="NJ7" s="95"/>
      <c r="NK7" s="95"/>
      <c r="NL7" s="95"/>
      <c r="NM7" s="95"/>
      <c r="NN7" s="95"/>
      <c r="NO7" s="95"/>
      <c r="NP7" s="95"/>
      <c r="NQ7" s="95"/>
      <c r="NR7" s="95"/>
      <c r="NS7" s="95"/>
      <c r="NT7" s="95"/>
      <c r="NU7" s="95"/>
      <c r="NV7" s="95"/>
      <c r="NW7" s="95"/>
      <c r="NX7" s="95"/>
      <c r="NY7" s="95"/>
      <c r="NZ7" s="95"/>
      <c r="OA7" s="95"/>
      <c r="OB7" s="95"/>
      <c r="OC7" s="95"/>
      <c r="OD7" s="95"/>
      <c r="OE7" s="95"/>
      <c r="OF7" s="95"/>
      <c r="OG7" s="95"/>
      <c r="OH7" s="95"/>
      <c r="OI7" s="95"/>
      <c r="OJ7" s="95"/>
      <c r="OK7" s="95"/>
      <c r="OL7" s="95"/>
      <c r="OM7" s="95"/>
      <c r="ON7" s="95"/>
      <c r="OO7" s="95"/>
      <c r="OP7" s="95"/>
      <c r="OQ7" s="95"/>
      <c r="OR7" s="95"/>
      <c r="OS7" s="95"/>
      <c r="OT7" s="95"/>
      <c r="OU7" s="95"/>
      <c r="OV7" s="95"/>
      <c r="OW7" s="95"/>
      <c r="OX7" s="95"/>
      <c r="OY7" s="95"/>
      <c r="OZ7" s="95"/>
      <c r="PA7" s="95"/>
      <c r="PB7" s="95"/>
      <c r="PC7" s="95"/>
      <c r="PD7" s="95"/>
      <c r="PE7" s="95"/>
      <c r="PF7" s="95"/>
      <c r="PG7" s="95"/>
      <c r="PH7" s="95"/>
      <c r="PI7" s="95"/>
      <c r="PJ7" s="95"/>
      <c r="PK7" s="95"/>
      <c r="PL7" s="95"/>
      <c r="PM7" s="95"/>
      <c r="PN7" s="95"/>
      <c r="PO7" s="95"/>
      <c r="PP7" s="95"/>
      <c r="PQ7" s="95"/>
      <c r="PR7" s="95"/>
      <c r="PS7" s="95"/>
      <c r="PT7" s="95"/>
      <c r="PU7" s="95"/>
      <c r="PV7" s="95"/>
      <c r="PW7" s="95"/>
      <c r="PX7" s="95"/>
      <c r="PY7" s="95"/>
      <c r="PZ7" s="95"/>
      <c r="QA7" s="95"/>
      <c r="QB7" s="95"/>
      <c r="QC7" s="95"/>
      <c r="QD7" s="95"/>
      <c r="QE7" s="95"/>
      <c r="QF7" s="95"/>
      <c r="QG7" s="95"/>
      <c r="QH7" s="95"/>
      <c r="QI7" s="95"/>
      <c r="QJ7" s="95"/>
      <c r="QK7" s="95"/>
      <c r="QL7" s="95"/>
      <c r="QM7" s="95"/>
      <c r="QN7" s="95"/>
      <c r="QO7" s="95"/>
    </row>
    <row r="8" spans="1:457" s="117" customFormat="1" ht="63" customHeight="1">
      <c r="B8" s="96"/>
      <c r="C8" s="118" t="s">
        <v>162</v>
      </c>
      <c r="E8" s="111"/>
      <c r="F8" s="112"/>
      <c r="G8" s="112"/>
      <c r="H8" s="112"/>
      <c r="I8" s="112"/>
      <c r="J8" s="112"/>
      <c r="K8" s="113"/>
      <c r="L8" s="111"/>
      <c r="M8" s="112"/>
      <c r="N8" s="112"/>
      <c r="O8" s="113"/>
      <c r="P8" s="111"/>
      <c r="Q8" s="112"/>
      <c r="R8" s="112"/>
      <c r="S8" s="112"/>
      <c r="T8" s="112"/>
      <c r="U8" s="113"/>
      <c r="V8" s="111"/>
      <c r="W8" s="112"/>
      <c r="X8" s="112"/>
      <c r="Y8" s="112"/>
      <c r="Z8" s="112"/>
      <c r="AA8" s="112"/>
      <c r="AB8" s="113"/>
      <c r="AC8" s="111"/>
      <c r="AD8" s="112"/>
      <c r="AE8" s="112"/>
      <c r="AF8" s="112"/>
      <c r="AG8" s="112"/>
      <c r="AH8" s="113"/>
      <c r="AI8" s="111"/>
      <c r="AJ8" s="112"/>
      <c r="AK8" s="112"/>
      <c r="AL8" s="112"/>
      <c r="AM8" s="112"/>
      <c r="AN8" s="112"/>
      <c r="AO8" s="113"/>
      <c r="AP8" s="111"/>
      <c r="AQ8" s="112"/>
      <c r="AR8" s="112"/>
      <c r="AS8" s="113"/>
      <c r="AT8" s="111"/>
      <c r="AU8" s="112"/>
      <c r="AV8" s="112"/>
      <c r="AW8" s="112"/>
      <c r="AX8" s="112"/>
      <c r="AY8" s="113"/>
      <c r="AZ8" s="111"/>
      <c r="BA8" s="112"/>
      <c r="BB8" s="112"/>
      <c r="BC8" s="112"/>
      <c r="BD8" s="112"/>
      <c r="BE8" s="112"/>
      <c r="BF8" s="113"/>
      <c r="BG8" s="111"/>
      <c r="BH8" s="112"/>
      <c r="BI8" s="112"/>
      <c r="BJ8" s="112"/>
      <c r="BK8" s="113"/>
      <c r="BL8" s="111"/>
      <c r="BM8" s="112"/>
      <c r="BN8" s="112"/>
      <c r="BO8" s="112"/>
      <c r="BP8" s="112"/>
      <c r="BQ8" s="112"/>
      <c r="BR8" s="112"/>
      <c r="BS8" s="113"/>
      <c r="BT8" s="110"/>
      <c r="BU8" s="110"/>
      <c r="BV8" s="110"/>
      <c r="BW8" s="110"/>
      <c r="BX8" s="110"/>
      <c r="BY8" s="111"/>
      <c r="BZ8" s="112"/>
      <c r="CA8" s="112"/>
      <c r="CB8" s="112"/>
      <c r="CC8" s="112"/>
      <c r="CD8" s="113"/>
      <c r="CE8" s="110"/>
      <c r="CF8" s="110"/>
      <c r="CG8" s="110"/>
      <c r="CH8" s="110"/>
      <c r="CI8" s="110"/>
      <c r="CJ8" s="111"/>
      <c r="CK8" s="112"/>
      <c r="CL8" s="113"/>
      <c r="CM8" s="110"/>
      <c r="CN8" s="110"/>
      <c r="CO8" s="110"/>
      <c r="CP8" s="111"/>
      <c r="CQ8" s="112"/>
      <c r="CR8" s="112"/>
      <c r="CS8" s="112"/>
      <c r="CT8" s="113"/>
      <c r="CU8" s="111"/>
      <c r="CV8" s="112"/>
      <c r="CW8" s="112"/>
      <c r="CX8" s="112"/>
      <c r="CY8" s="112"/>
      <c r="CZ8" s="113"/>
      <c r="DA8" s="111"/>
      <c r="DB8" s="112"/>
      <c r="DC8" s="112"/>
      <c r="DD8" s="112"/>
      <c r="DE8" s="113"/>
      <c r="DF8" s="111"/>
      <c r="DG8" s="112"/>
      <c r="DH8" s="112"/>
      <c r="DI8" s="112"/>
      <c r="DJ8" s="112"/>
      <c r="DK8" s="113"/>
      <c r="DL8" s="111"/>
      <c r="DM8" s="112"/>
      <c r="DN8" s="112"/>
      <c r="DO8" s="112"/>
      <c r="DP8" s="112"/>
      <c r="DQ8" s="113"/>
      <c r="DR8" s="111"/>
      <c r="DS8" s="112"/>
      <c r="DT8" s="112"/>
      <c r="DU8" s="112"/>
      <c r="DV8" s="112"/>
      <c r="DW8" s="113"/>
      <c r="DX8" s="111"/>
      <c r="DY8" s="112"/>
      <c r="DZ8" s="112"/>
      <c r="EA8" s="112"/>
      <c r="EB8" s="112"/>
      <c r="EC8" s="113"/>
      <c r="ED8" s="111"/>
      <c r="EE8" s="112"/>
      <c r="EF8" s="112"/>
      <c r="EG8" s="112"/>
      <c r="EH8" s="112"/>
      <c r="EI8" s="112"/>
      <c r="EJ8" s="111"/>
      <c r="EK8" s="112"/>
      <c r="EL8" s="112"/>
      <c r="EM8" s="112"/>
      <c r="EN8" s="112"/>
      <c r="EO8" s="112"/>
      <c r="EP8" s="112"/>
      <c r="EQ8" s="112"/>
      <c r="ER8" s="112"/>
      <c r="ES8" s="112"/>
      <c r="ET8" s="112"/>
      <c r="EU8" s="112"/>
      <c r="EV8" s="112"/>
      <c r="EW8" s="112"/>
      <c r="EX8" s="112"/>
      <c r="EY8" s="112"/>
      <c r="EZ8" s="114" t="s">
        <v>597</v>
      </c>
      <c r="FA8" s="110" t="s">
        <v>597</v>
      </c>
      <c r="FB8" s="112"/>
      <c r="FC8" s="110" t="s">
        <v>597</v>
      </c>
      <c r="FD8" s="110" t="s">
        <v>597</v>
      </c>
      <c r="FE8" s="110" t="s">
        <v>597</v>
      </c>
      <c r="FF8" s="111" t="s">
        <v>597</v>
      </c>
      <c r="FG8" s="112" t="s">
        <v>597</v>
      </c>
      <c r="FH8" s="112" t="s">
        <v>597</v>
      </c>
      <c r="FI8" s="113" t="s">
        <v>597</v>
      </c>
      <c r="FJ8" s="111"/>
      <c r="FK8" s="112"/>
      <c r="FL8" s="113"/>
      <c r="FM8" s="112" t="s">
        <v>597</v>
      </c>
      <c r="FN8" s="112" t="s">
        <v>597</v>
      </c>
      <c r="FO8" s="112" t="s">
        <v>597</v>
      </c>
      <c r="FP8" s="112" t="s">
        <v>597</v>
      </c>
      <c r="FQ8" s="112" t="s">
        <v>597</v>
      </c>
      <c r="FR8" s="111" t="s">
        <v>165</v>
      </c>
      <c r="FS8" s="112" t="s">
        <v>165</v>
      </c>
      <c r="FT8" s="112" t="s">
        <v>165</v>
      </c>
      <c r="FU8" s="112" t="s">
        <v>165</v>
      </c>
      <c r="FV8" s="113" t="s">
        <v>165</v>
      </c>
      <c r="FW8" s="112" t="s">
        <v>166</v>
      </c>
      <c r="FX8" s="112" t="s">
        <v>166</v>
      </c>
      <c r="FY8" s="112" t="s">
        <v>167</v>
      </c>
      <c r="FZ8" s="112" t="s">
        <v>168</v>
      </c>
      <c r="GA8" s="112" t="s">
        <v>169</v>
      </c>
      <c r="GB8" s="112" t="s">
        <v>170</v>
      </c>
      <c r="GC8" s="112" t="s">
        <v>172</v>
      </c>
      <c r="GD8" s="112" t="s">
        <v>173</v>
      </c>
      <c r="GE8" s="112" t="s">
        <v>171</v>
      </c>
      <c r="GF8" s="112" t="s">
        <v>171</v>
      </c>
      <c r="GG8" s="112"/>
      <c r="GH8" s="111"/>
      <c r="GI8" s="112"/>
      <c r="GJ8" s="112"/>
      <c r="GK8" s="113"/>
      <c r="GL8" s="112"/>
      <c r="GM8" s="112"/>
      <c r="GN8" s="113"/>
      <c r="GO8" s="112"/>
      <c r="GP8" s="112"/>
      <c r="GQ8" s="113"/>
      <c r="GR8" s="112"/>
      <c r="GS8" s="112"/>
      <c r="GT8" s="112"/>
      <c r="GU8" s="111"/>
      <c r="GV8" s="112"/>
      <c r="GW8" s="112"/>
      <c r="GX8" s="112"/>
      <c r="GY8" s="112"/>
      <c r="GZ8" s="112" t="s">
        <v>174</v>
      </c>
      <c r="HA8" s="112" t="s">
        <v>166</v>
      </c>
      <c r="HB8" s="112" t="s">
        <v>594</v>
      </c>
      <c r="HC8" s="112" t="s">
        <v>177</v>
      </c>
      <c r="HD8" s="112"/>
      <c r="HE8" s="112"/>
      <c r="HF8" s="112" t="s">
        <v>178</v>
      </c>
      <c r="HG8" s="112" t="s">
        <v>178</v>
      </c>
      <c r="HH8" s="112" t="s">
        <v>178</v>
      </c>
      <c r="HI8" s="112" t="s">
        <v>178</v>
      </c>
      <c r="HJ8" s="112" t="s">
        <v>178</v>
      </c>
      <c r="HK8" s="112" t="s">
        <v>178</v>
      </c>
      <c r="HL8" s="112"/>
      <c r="HM8" s="112" t="s">
        <v>178</v>
      </c>
      <c r="HN8" s="112"/>
      <c r="HO8" s="112"/>
      <c r="HP8" s="112"/>
      <c r="HQ8" s="112"/>
      <c r="HR8" s="111" t="s">
        <v>173</v>
      </c>
      <c r="HS8" s="112" t="s">
        <v>179</v>
      </c>
      <c r="HT8" s="116" t="s">
        <v>180</v>
      </c>
      <c r="HU8" s="112" t="s">
        <v>173</v>
      </c>
      <c r="HV8" s="115" t="s">
        <v>179</v>
      </c>
      <c r="HW8" s="112"/>
      <c r="HX8" s="112"/>
      <c r="HY8" s="112"/>
      <c r="HZ8" s="113"/>
      <c r="IA8" s="112"/>
      <c r="IB8" s="113"/>
      <c r="IC8" s="112"/>
      <c r="ID8" s="112"/>
      <c r="IE8" s="113"/>
      <c r="IF8" s="112"/>
      <c r="IG8" s="112"/>
      <c r="IH8" s="113"/>
      <c r="II8" s="112"/>
      <c r="IJ8" s="113"/>
      <c r="IK8" s="112"/>
      <c r="IL8" s="113"/>
      <c r="IM8" s="112"/>
      <c r="IN8" s="112"/>
      <c r="IO8" s="112"/>
      <c r="IP8" s="112"/>
      <c r="IQ8" s="112"/>
      <c r="IR8" s="112"/>
      <c r="IS8" s="112"/>
      <c r="IT8" s="112"/>
      <c r="IU8" s="112"/>
      <c r="IV8" s="112"/>
      <c r="IW8" s="112"/>
      <c r="IX8" s="111" t="s">
        <v>181</v>
      </c>
      <c r="IY8" s="110"/>
      <c r="IZ8" s="110" t="s">
        <v>182</v>
      </c>
      <c r="JA8" s="110" t="s">
        <v>173</v>
      </c>
      <c r="JB8" s="110"/>
      <c r="JC8" s="110"/>
      <c r="JD8" s="110"/>
      <c r="JE8" s="110"/>
      <c r="JF8" s="110" t="s">
        <v>183</v>
      </c>
      <c r="JG8" s="110" t="s">
        <v>183</v>
      </c>
      <c r="JH8" s="110"/>
      <c r="JI8" s="110"/>
      <c r="JJ8" s="110"/>
      <c r="JK8" s="110" t="s">
        <v>184</v>
      </c>
      <c r="JL8" s="110" t="s">
        <v>185</v>
      </c>
      <c r="JM8" s="110"/>
      <c r="JN8" s="95"/>
      <c r="JO8" s="95"/>
      <c r="JP8" s="95"/>
      <c r="JQ8" s="95"/>
      <c r="JR8" s="95"/>
      <c r="JS8" s="95"/>
      <c r="JT8" s="95"/>
      <c r="JU8" s="95"/>
      <c r="JV8" s="95"/>
      <c r="JW8" s="95"/>
      <c r="JX8" s="95"/>
      <c r="JY8" s="95"/>
      <c r="JZ8" s="95"/>
      <c r="KA8" s="95"/>
      <c r="KB8" s="95"/>
      <c r="KC8" s="95"/>
      <c r="KD8" s="95"/>
      <c r="KE8" s="95"/>
      <c r="KF8" s="95"/>
      <c r="KG8" s="95"/>
      <c r="KH8" s="95"/>
      <c r="KI8" s="95"/>
      <c r="KJ8" s="95"/>
      <c r="KK8" s="95"/>
      <c r="KL8" s="95"/>
      <c r="KM8" s="95"/>
      <c r="KN8" s="95"/>
      <c r="KO8" s="95"/>
      <c r="KP8" s="95"/>
      <c r="KQ8" s="95"/>
      <c r="KR8" s="95"/>
      <c r="KS8" s="95"/>
      <c r="KT8" s="95"/>
      <c r="KU8" s="95"/>
      <c r="KV8" s="95"/>
      <c r="KW8" s="95"/>
      <c r="KX8" s="95"/>
      <c r="KY8" s="95"/>
      <c r="KZ8" s="95"/>
      <c r="LA8" s="95"/>
      <c r="LB8" s="95"/>
      <c r="LC8" s="95"/>
      <c r="LD8" s="95"/>
      <c r="LE8" s="95"/>
      <c r="LF8" s="95"/>
      <c r="LG8" s="95"/>
      <c r="LH8" s="95"/>
      <c r="LI8" s="95"/>
      <c r="LJ8" s="95"/>
      <c r="LK8" s="95"/>
      <c r="LL8" s="95"/>
      <c r="LM8" s="95"/>
      <c r="LN8" s="95"/>
      <c r="LO8" s="95"/>
      <c r="LP8" s="95"/>
      <c r="LQ8" s="95"/>
      <c r="LR8" s="95"/>
      <c r="LS8" s="95"/>
      <c r="LT8" s="95"/>
      <c r="LU8" s="95"/>
      <c r="LV8" s="95"/>
      <c r="LW8" s="95"/>
      <c r="LX8" s="95"/>
      <c r="LY8" s="95"/>
      <c r="LZ8" s="95"/>
      <c r="MA8" s="95"/>
      <c r="MB8" s="95"/>
      <c r="MC8" s="95"/>
      <c r="MD8" s="95"/>
      <c r="ME8" s="95"/>
      <c r="MF8" s="95"/>
      <c r="MG8" s="95"/>
      <c r="MH8" s="95"/>
      <c r="MI8" s="95"/>
      <c r="MJ8" s="95"/>
      <c r="MK8" s="95"/>
      <c r="ML8" s="95"/>
      <c r="MM8" s="95"/>
      <c r="MN8" s="95"/>
      <c r="MO8" s="95"/>
      <c r="MP8" s="95"/>
      <c r="MQ8" s="95"/>
      <c r="MR8" s="95"/>
      <c r="MS8" s="95"/>
      <c r="MT8" s="95"/>
      <c r="MU8" s="95"/>
      <c r="MV8" s="95"/>
      <c r="MW8" s="95"/>
      <c r="MX8" s="95"/>
      <c r="MY8" s="95"/>
      <c r="MZ8" s="95"/>
      <c r="NA8" s="95"/>
      <c r="NB8" s="95"/>
      <c r="NC8" s="95"/>
      <c r="ND8" s="95"/>
      <c r="NE8" s="95"/>
      <c r="NF8" s="95"/>
      <c r="NG8" s="95"/>
      <c r="NH8" s="95"/>
      <c r="NI8" s="95"/>
      <c r="NJ8" s="95"/>
      <c r="NK8" s="95"/>
      <c r="NL8" s="95"/>
      <c r="NM8" s="95"/>
      <c r="NN8" s="95"/>
      <c r="NO8" s="95"/>
      <c r="NP8" s="95"/>
      <c r="NQ8" s="95"/>
      <c r="NR8" s="95"/>
      <c r="NS8" s="95"/>
      <c r="NT8" s="95"/>
      <c r="NU8" s="95"/>
      <c r="NV8" s="95"/>
      <c r="NW8" s="95"/>
      <c r="NX8" s="95"/>
      <c r="NY8" s="95"/>
      <c r="NZ8" s="95"/>
      <c r="OA8" s="95"/>
      <c r="OB8" s="95"/>
      <c r="OC8" s="95"/>
      <c r="OD8" s="95"/>
      <c r="OE8" s="95"/>
      <c r="OF8" s="95"/>
      <c r="OG8" s="95"/>
      <c r="OH8" s="95"/>
      <c r="OI8" s="95"/>
      <c r="OJ8" s="95"/>
      <c r="OK8" s="95"/>
      <c r="OL8" s="95"/>
      <c r="OM8" s="95"/>
      <c r="ON8" s="95"/>
      <c r="OO8" s="95"/>
      <c r="OP8" s="95"/>
      <c r="OQ8" s="95"/>
      <c r="OR8" s="95"/>
      <c r="OS8" s="95"/>
      <c r="OT8" s="95"/>
      <c r="OU8" s="95"/>
      <c r="OV8" s="95"/>
      <c r="OW8" s="95"/>
      <c r="OX8" s="95"/>
      <c r="OY8" s="95"/>
      <c r="OZ8" s="95"/>
      <c r="PA8" s="95"/>
      <c r="PB8" s="95"/>
      <c r="PC8" s="95"/>
      <c r="PD8" s="95"/>
      <c r="PE8" s="95"/>
      <c r="PF8" s="95"/>
      <c r="PG8" s="95"/>
      <c r="PH8" s="95"/>
      <c r="PI8" s="95"/>
      <c r="PJ8" s="95"/>
      <c r="PK8" s="95"/>
      <c r="PL8" s="95"/>
      <c r="PM8" s="95"/>
      <c r="PN8" s="95"/>
      <c r="PO8" s="95"/>
      <c r="PP8" s="95"/>
      <c r="PQ8" s="95"/>
      <c r="PR8" s="95"/>
      <c r="PS8" s="95"/>
      <c r="PT8" s="95"/>
      <c r="PU8" s="95"/>
      <c r="PV8" s="95"/>
      <c r="PW8" s="95"/>
      <c r="PX8" s="95"/>
      <c r="PY8" s="95"/>
      <c r="PZ8" s="95"/>
      <c r="QA8" s="95"/>
      <c r="QB8" s="95"/>
      <c r="QC8" s="95"/>
      <c r="QD8" s="95"/>
      <c r="QE8" s="95"/>
      <c r="QF8" s="95"/>
      <c r="QG8" s="95"/>
      <c r="QH8" s="95"/>
      <c r="QI8" s="95"/>
      <c r="QJ8" s="95"/>
      <c r="QK8" s="95"/>
      <c r="QL8" s="95"/>
      <c r="QM8" s="95"/>
      <c r="QN8" s="95"/>
      <c r="QO8" s="95"/>
    </row>
    <row r="9" spans="1:457" s="117" customFormat="1">
      <c r="B9" s="96"/>
      <c r="C9" s="118" t="s">
        <v>186</v>
      </c>
      <c r="E9" s="111"/>
      <c r="F9" s="112"/>
      <c r="G9" s="112"/>
      <c r="H9" s="112"/>
      <c r="I9" s="112"/>
      <c r="J9" s="112"/>
      <c r="K9" s="113"/>
      <c r="L9" s="111"/>
      <c r="M9" s="112"/>
      <c r="N9" s="112"/>
      <c r="O9" s="113"/>
      <c r="P9" s="111"/>
      <c r="Q9" s="112"/>
      <c r="R9" s="112"/>
      <c r="S9" s="112"/>
      <c r="T9" s="112"/>
      <c r="U9" s="113"/>
      <c r="V9" s="111"/>
      <c r="W9" s="112"/>
      <c r="X9" s="112"/>
      <c r="Y9" s="112"/>
      <c r="Z9" s="112"/>
      <c r="AA9" s="112"/>
      <c r="AB9" s="113"/>
      <c r="AC9" s="111"/>
      <c r="AD9" s="112"/>
      <c r="AE9" s="112"/>
      <c r="AF9" s="112"/>
      <c r="AG9" s="112"/>
      <c r="AH9" s="113"/>
      <c r="AI9" s="111"/>
      <c r="AJ9" s="112"/>
      <c r="AK9" s="112"/>
      <c r="AL9" s="112"/>
      <c r="AM9" s="112"/>
      <c r="AN9" s="112"/>
      <c r="AO9" s="113"/>
      <c r="AP9" s="111"/>
      <c r="AQ9" s="112"/>
      <c r="AR9" s="112"/>
      <c r="AS9" s="113"/>
      <c r="AT9" s="111"/>
      <c r="AU9" s="112"/>
      <c r="AV9" s="112"/>
      <c r="AW9" s="112"/>
      <c r="AX9" s="112"/>
      <c r="AY9" s="113"/>
      <c r="AZ9" s="111"/>
      <c r="BA9" s="112"/>
      <c r="BB9" s="112"/>
      <c r="BC9" s="112"/>
      <c r="BD9" s="112"/>
      <c r="BE9" s="112"/>
      <c r="BF9" s="113"/>
      <c r="BG9" s="111"/>
      <c r="BH9" s="112"/>
      <c r="BI9" s="112"/>
      <c r="BJ9" s="112"/>
      <c r="BK9" s="113"/>
      <c r="BL9" s="111"/>
      <c r="BM9" s="112"/>
      <c r="BN9" s="112"/>
      <c r="BO9" s="112"/>
      <c r="BP9" s="112"/>
      <c r="BQ9" s="112"/>
      <c r="BR9" s="112"/>
      <c r="BS9" s="113"/>
      <c r="BT9" s="110"/>
      <c r="BU9" s="110"/>
      <c r="BV9" s="110"/>
      <c r="BW9" s="110"/>
      <c r="BX9" s="110"/>
      <c r="BY9" s="111"/>
      <c r="BZ9" s="112"/>
      <c r="CA9" s="112"/>
      <c r="CB9" s="112"/>
      <c r="CC9" s="112"/>
      <c r="CD9" s="113"/>
      <c r="CE9" s="110"/>
      <c r="CF9" s="110"/>
      <c r="CG9" s="110"/>
      <c r="CH9" s="110"/>
      <c r="CI9" s="110"/>
      <c r="CJ9" s="111"/>
      <c r="CK9" s="112"/>
      <c r="CL9" s="113"/>
      <c r="CM9" s="110"/>
      <c r="CN9" s="110"/>
      <c r="CO9" s="110"/>
      <c r="CP9" s="111"/>
      <c r="CQ9" s="112"/>
      <c r="CR9" s="112"/>
      <c r="CS9" s="112"/>
      <c r="CT9" s="113"/>
      <c r="CU9" s="111"/>
      <c r="CV9" s="112"/>
      <c r="CW9" s="112"/>
      <c r="CX9" s="112"/>
      <c r="CY9" s="112"/>
      <c r="CZ9" s="113"/>
      <c r="DA9" s="111"/>
      <c r="DB9" s="112"/>
      <c r="DC9" s="112"/>
      <c r="DD9" s="112"/>
      <c r="DE9" s="113"/>
      <c r="DF9" s="111"/>
      <c r="DG9" s="112"/>
      <c r="DH9" s="112"/>
      <c r="DI9" s="112"/>
      <c r="DJ9" s="112"/>
      <c r="DK9" s="113"/>
      <c r="DL9" s="111"/>
      <c r="DM9" s="112"/>
      <c r="DN9" s="112"/>
      <c r="DO9" s="112"/>
      <c r="DP9" s="112"/>
      <c r="DQ9" s="113"/>
      <c r="DR9" s="111"/>
      <c r="DS9" s="112"/>
      <c r="DT9" s="112"/>
      <c r="DU9" s="112"/>
      <c r="DV9" s="112"/>
      <c r="DW9" s="113"/>
      <c r="DX9" s="111"/>
      <c r="DY9" s="112"/>
      <c r="DZ9" s="112"/>
      <c r="EA9" s="112"/>
      <c r="EB9" s="112"/>
      <c r="EC9" s="113"/>
      <c r="ED9" s="111"/>
      <c r="EE9" s="112"/>
      <c r="EF9" s="112"/>
      <c r="EG9" s="112"/>
      <c r="EH9" s="112"/>
      <c r="EI9" s="112"/>
      <c r="EJ9" s="111"/>
      <c r="EK9" s="112"/>
      <c r="EL9" s="112"/>
      <c r="EM9" s="112"/>
      <c r="EN9" s="112"/>
      <c r="EO9" s="112"/>
      <c r="EP9" s="112"/>
      <c r="EQ9" s="112"/>
      <c r="ER9" s="112"/>
      <c r="ES9" s="112"/>
      <c r="ET9" s="112"/>
      <c r="EU9" s="112"/>
      <c r="EV9" s="112"/>
      <c r="EW9" s="112"/>
      <c r="EX9" s="112"/>
      <c r="EY9" s="112"/>
      <c r="EZ9" s="114"/>
      <c r="FA9" s="112"/>
      <c r="FB9" s="112"/>
      <c r="FC9" s="112"/>
      <c r="FD9" s="112"/>
      <c r="FE9" s="112"/>
      <c r="FF9" s="111"/>
      <c r="FG9" s="112"/>
      <c r="FH9" s="112"/>
      <c r="FI9" s="113"/>
      <c r="FJ9" s="111"/>
      <c r="FK9" s="112"/>
      <c r="FL9" s="113"/>
      <c r="FM9" s="112"/>
      <c r="FN9" s="112"/>
      <c r="FO9" s="112"/>
      <c r="FP9" s="112"/>
      <c r="FQ9" s="112"/>
      <c r="FR9" s="111"/>
      <c r="FS9" s="112"/>
      <c r="FT9" s="112"/>
      <c r="FU9" s="112"/>
      <c r="FV9" s="113"/>
      <c r="FW9" s="112"/>
      <c r="FX9" s="112"/>
      <c r="FY9" s="112"/>
      <c r="FZ9" s="112"/>
      <c r="GA9" s="112"/>
      <c r="GB9" s="112"/>
      <c r="GC9" s="112"/>
      <c r="GD9" s="112"/>
      <c r="GE9" s="112"/>
      <c r="GF9" s="112"/>
      <c r="GG9" s="112"/>
      <c r="GH9" s="111"/>
      <c r="GI9" s="112"/>
      <c r="GJ9" s="112"/>
      <c r="GK9" s="113"/>
      <c r="GL9" s="112"/>
      <c r="GM9" s="112"/>
      <c r="GN9" s="113"/>
      <c r="GO9" s="112"/>
      <c r="GP9" s="112"/>
      <c r="GQ9" s="113"/>
      <c r="GR9" s="112"/>
      <c r="GS9" s="112"/>
      <c r="GT9" s="112"/>
      <c r="GU9" s="111"/>
      <c r="GV9" s="112"/>
      <c r="GW9" s="112"/>
      <c r="GX9" s="112"/>
      <c r="GY9" s="112"/>
      <c r="GZ9" s="112"/>
      <c r="HA9" s="112"/>
      <c r="HB9" s="112"/>
      <c r="HC9" s="112"/>
      <c r="HD9" s="112"/>
      <c r="HE9" s="112"/>
      <c r="HF9" s="112"/>
      <c r="HG9" s="112"/>
      <c r="HH9" s="112"/>
      <c r="HI9" s="112"/>
      <c r="HJ9" s="112"/>
      <c r="HK9" s="112"/>
      <c r="HL9" s="112"/>
      <c r="HM9" s="112"/>
      <c r="HN9" s="112"/>
      <c r="HO9" s="112"/>
      <c r="HP9" s="112"/>
      <c r="HQ9" s="112"/>
      <c r="HR9" s="111"/>
      <c r="HS9" s="112"/>
      <c r="HT9" s="116"/>
      <c r="HU9" s="112"/>
      <c r="HV9" s="115"/>
      <c r="HW9" s="112"/>
      <c r="HX9" s="112"/>
      <c r="HY9" s="112"/>
      <c r="HZ9" s="113"/>
      <c r="IA9" s="112"/>
      <c r="IB9" s="113"/>
      <c r="IC9" s="112"/>
      <c r="ID9" s="112"/>
      <c r="IE9" s="113"/>
      <c r="IF9" s="112"/>
      <c r="IG9" s="112"/>
      <c r="IH9" s="113"/>
      <c r="II9" s="112"/>
      <c r="IJ9" s="113"/>
      <c r="IK9" s="112"/>
      <c r="IL9" s="113"/>
      <c r="IM9" s="112"/>
      <c r="IN9" s="112"/>
      <c r="IO9" s="112"/>
      <c r="IP9" s="112"/>
      <c r="IQ9" s="112"/>
      <c r="IR9" s="112"/>
      <c r="IS9" s="112"/>
      <c r="IT9" s="112"/>
      <c r="IU9" s="112"/>
      <c r="IV9" s="112"/>
      <c r="IW9" s="112"/>
      <c r="IX9" s="111" t="s">
        <v>149</v>
      </c>
      <c r="IY9" s="110"/>
      <c r="IZ9" s="110" t="s">
        <v>149</v>
      </c>
      <c r="JA9" s="110"/>
      <c r="JB9" s="110"/>
      <c r="JC9" s="110"/>
      <c r="JD9" s="110"/>
      <c r="JE9" s="110"/>
      <c r="JF9" s="110"/>
      <c r="JG9" s="110"/>
      <c r="JH9" s="110"/>
      <c r="JI9" s="110"/>
      <c r="JJ9" s="110"/>
      <c r="JK9" s="110"/>
      <c r="JL9" s="110"/>
      <c r="JM9" s="110"/>
      <c r="JN9" s="95"/>
      <c r="JO9" s="95"/>
      <c r="JP9" s="95"/>
      <c r="JQ9" s="95"/>
      <c r="JR9" s="95"/>
      <c r="JS9" s="95"/>
      <c r="JT9" s="95"/>
      <c r="JU9" s="95"/>
      <c r="JV9" s="95"/>
      <c r="JW9" s="95"/>
      <c r="JX9" s="95"/>
      <c r="JY9" s="95"/>
      <c r="JZ9" s="95"/>
      <c r="KA9" s="95"/>
      <c r="KB9" s="95"/>
      <c r="KC9" s="95"/>
      <c r="KD9" s="95"/>
      <c r="KE9" s="95"/>
      <c r="KF9" s="95"/>
      <c r="KG9" s="95"/>
      <c r="KH9" s="95"/>
      <c r="KI9" s="95"/>
      <c r="KJ9" s="95"/>
      <c r="KK9" s="95"/>
      <c r="KL9" s="95"/>
      <c r="KM9" s="95"/>
      <c r="KN9" s="95"/>
      <c r="KO9" s="95"/>
      <c r="KP9" s="95"/>
      <c r="KQ9" s="95"/>
      <c r="KR9" s="95"/>
      <c r="KS9" s="95"/>
      <c r="KT9" s="95"/>
      <c r="KU9" s="95"/>
      <c r="KV9" s="95"/>
      <c r="KW9" s="95"/>
      <c r="KX9" s="95"/>
      <c r="KY9" s="95"/>
      <c r="KZ9" s="95"/>
      <c r="LA9" s="95"/>
      <c r="LB9" s="95"/>
      <c r="LC9" s="95"/>
      <c r="LD9" s="95"/>
      <c r="LE9" s="95"/>
      <c r="LF9" s="95"/>
      <c r="LG9" s="95"/>
      <c r="LH9" s="95"/>
      <c r="LI9" s="95"/>
      <c r="LJ9" s="95"/>
      <c r="LK9" s="95"/>
      <c r="LL9" s="95"/>
      <c r="LM9" s="95"/>
      <c r="LN9" s="95"/>
      <c r="LO9" s="95"/>
      <c r="LP9" s="95"/>
      <c r="LQ9" s="95"/>
      <c r="LR9" s="95"/>
      <c r="LS9" s="95"/>
      <c r="LT9" s="95"/>
      <c r="LU9" s="95"/>
      <c r="LV9" s="95"/>
      <c r="LW9" s="95"/>
      <c r="LX9" s="95"/>
      <c r="LY9" s="95"/>
      <c r="LZ9" s="95"/>
      <c r="MA9" s="95"/>
      <c r="MB9" s="95"/>
      <c r="MC9" s="95"/>
      <c r="MD9" s="95"/>
      <c r="ME9" s="95"/>
      <c r="MF9" s="95"/>
      <c r="MG9" s="95"/>
      <c r="MH9" s="95"/>
      <c r="MI9" s="95"/>
      <c r="MJ9" s="95"/>
      <c r="MK9" s="95"/>
      <c r="ML9" s="95"/>
      <c r="MM9" s="95"/>
      <c r="MN9" s="95"/>
      <c r="MO9" s="95"/>
      <c r="MP9" s="95"/>
      <c r="MQ9" s="95"/>
      <c r="MR9" s="95"/>
      <c r="MS9" s="95"/>
      <c r="MT9" s="95"/>
      <c r="MU9" s="95"/>
      <c r="MV9" s="95"/>
      <c r="MW9" s="95"/>
      <c r="MX9" s="95"/>
      <c r="MY9" s="95"/>
      <c r="MZ9" s="95"/>
      <c r="NA9" s="95"/>
      <c r="NB9" s="95"/>
      <c r="NC9" s="95"/>
      <c r="ND9" s="95"/>
      <c r="NE9" s="95"/>
      <c r="NF9" s="95"/>
      <c r="NG9" s="95"/>
      <c r="NH9" s="95"/>
      <c r="NI9" s="95"/>
      <c r="NJ9" s="95"/>
      <c r="NK9" s="95"/>
      <c r="NL9" s="95"/>
      <c r="NM9" s="95"/>
      <c r="NN9" s="95"/>
      <c r="NO9" s="95"/>
      <c r="NP9" s="95"/>
      <c r="NQ9" s="95"/>
      <c r="NR9" s="95"/>
      <c r="NS9" s="95"/>
      <c r="NT9" s="95"/>
      <c r="NU9" s="95"/>
      <c r="NV9" s="95"/>
      <c r="NW9" s="95"/>
      <c r="NX9" s="95"/>
      <c r="NY9" s="95"/>
      <c r="NZ9" s="95"/>
      <c r="OA9" s="95"/>
      <c r="OB9" s="95"/>
      <c r="OC9" s="95"/>
      <c r="OD9" s="95"/>
      <c r="OE9" s="95"/>
      <c r="OF9" s="95"/>
      <c r="OG9" s="95"/>
      <c r="OH9" s="95"/>
      <c r="OI9" s="95"/>
      <c r="OJ9" s="95"/>
      <c r="OK9" s="95"/>
      <c r="OL9" s="95"/>
      <c r="OM9" s="95"/>
      <c r="ON9" s="95"/>
      <c r="OO9" s="95"/>
      <c r="OP9" s="95"/>
      <c r="OQ9" s="95"/>
      <c r="OR9" s="95"/>
      <c r="OS9" s="95"/>
      <c r="OT9" s="95"/>
      <c r="OU9" s="95"/>
      <c r="OV9" s="95"/>
      <c r="OW9" s="95"/>
      <c r="OX9" s="95"/>
      <c r="OY9" s="95"/>
      <c r="OZ9" s="95"/>
      <c r="PA9" s="95"/>
      <c r="PB9" s="95"/>
      <c r="PC9" s="95"/>
      <c r="PD9" s="95"/>
      <c r="PE9" s="95"/>
      <c r="PF9" s="95"/>
      <c r="PG9" s="95"/>
      <c r="PH9" s="95"/>
      <c r="PI9" s="95"/>
      <c r="PJ9" s="95"/>
      <c r="PK9" s="95"/>
      <c r="PL9" s="95"/>
      <c r="PM9" s="95"/>
      <c r="PN9" s="95"/>
      <c r="PO9" s="95"/>
      <c r="PP9" s="95"/>
      <c r="PQ9" s="95"/>
      <c r="PR9" s="95"/>
      <c r="PS9" s="95"/>
      <c r="PT9" s="95"/>
      <c r="PU9" s="95"/>
      <c r="PV9" s="95"/>
      <c r="PW9" s="95"/>
      <c r="PX9" s="95"/>
      <c r="PY9" s="95"/>
      <c r="PZ9" s="95"/>
      <c r="QA9" s="95"/>
      <c r="QB9" s="95"/>
      <c r="QC9" s="95"/>
      <c r="QD9" s="95"/>
      <c r="QE9" s="95"/>
      <c r="QF9" s="95"/>
      <c r="QG9" s="95"/>
      <c r="QH9" s="95"/>
      <c r="QI9" s="95"/>
      <c r="QJ9" s="95"/>
      <c r="QK9" s="95"/>
      <c r="QL9" s="95"/>
      <c r="QM9" s="95"/>
      <c r="QN9" s="95"/>
      <c r="QO9" s="95"/>
    </row>
    <row r="10" spans="1:457" s="119" customFormat="1" ht="64" customHeight="1">
      <c r="B10" s="120"/>
      <c r="C10" s="121" t="s">
        <v>187</v>
      </c>
      <c r="E10" s="94"/>
      <c r="F10" s="116"/>
      <c r="G10" s="116"/>
      <c r="H10" s="116"/>
      <c r="I10" s="116"/>
      <c r="J10" s="116"/>
      <c r="K10" s="122"/>
      <c r="L10" s="94"/>
      <c r="M10" s="116"/>
      <c r="N10" s="116"/>
      <c r="O10" s="122"/>
      <c r="P10" s="94"/>
      <c r="Q10" s="116"/>
      <c r="R10" s="116"/>
      <c r="S10" s="116"/>
      <c r="T10" s="116"/>
      <c r="U10" s="122"/>
      <c r="V10" s="94"/>
      <c r="W10" s="116"/>
      <c r="X10" s="116"/>
      <c r="Y10" s="116"/>
      <c r="Z10" s="116"/>
      <c r="AA10" s="116"/>
      <c r="AB10" s="122"/>
      <c r="AC10" s="94"/>
      <c r="AD10" s="116"/>
      <c r="AE10" s="116"/>
      <c r="AF10" s="116"/>
      <c r="AG10" s="116"/>
      <c r="AH10" s="122"/>
      <c r="AI10" s="94"/>
      <c r="AJ10" s="116"/>
      <c r="AK10" s="116"/>
      <c r="AL10" s="116"/>
      <c r="AM10" s="116"/>
      <c r="AN10" s="116"/>
      <c r="AO10" s="122"/>
      <c r="AP10" s="94"/>
      <c r="AQ10" s="116"/>
      <c r="AR10" s="116"/>
      <c r="AS10" s="122"/>
      <c r="AT10" s="94"/>
      <c r="AU10" s="116"/>
      <c r="AV10" s="116"/>
      <c r="AW10" s="116"/>
      <c r="AX10" s="116"/>
      <c r="AY10" s="122"/>
      <c r="AZ10" s="94"/>
      <c r="BA10" s="116"/>
      <c r="BB10" s="116"/>
      <c r="BC10" s="116"/>
      <c r="BD10" s="116"/>
      <c r="BE10" s="116"/>
      <c r="BF10" s="122"/>
      <c r="BG10" s="94"/>
      <c r="BH10" s="116"/>
      <c r="BI10" s="116"/>
      <c r="BJ10" s="116"/>
      <c r="BK10" s="122"/>
      <c r="BL10" s="94"/>
      <c r="BM10" s="116"/>
      <c r="BN10" s="116"/>
      <c r="BO10" s="116"/>
      <c r="BP10" s="116"/>
      <c r="BQ10" s="116"/>
      <c r="BR10" s="116"/>
      <c r="BS10" s="122"/>
      <c r="BT10" s="123"/>
      <c r="BU10" s="123"/>
      <c r="BV10" s="123"/>
      <c r="BW10" s="123"/>
      <c r="BX10" s="123"/>
      <c r="BY10" s="94"/>
      <c r="BZ10" s="116"/>
      <c r="CA10" s="116"/>
      <c r="CB10" s="116"/>
      <c r="CC10" s="116"/>
      <c r="CD10" s="122"/>
      <c r="CE10" s="123"/>
      <c r="CF10" s="123"/>
      <c r="CG10" s="123"/>
      <c r="CH10" s="123"/>
      <c r="CI10" s="123"/>
      <c r="CJ10" s="94"/>
      <c r="CK10" s="116"/>
      <c r="CL10" s="122"/>
      <c r="CM10" s="123"/>
      <c r="CN10" s="123"/>
      <c r="CO10" s="123"/>
      <c r="CP10" s="94"/>
      <c r="CQ10" s="116"/>
      <c r="CR10" s="116"/>
      <c r="CS10" s="116"/>
      <c r="CT10" s="122"/>
      <c r="CU10" s="94"/>
      <c r="CV10" s="116"/>
      <c r="CW10" s="116"/>
      <c r="CX10" s="116"/>
      <c r="CY10" s="116"/>
      <c r="CZ10" s="122"/>
      <c r="DA10" s="94"/>
      <c r="DB10" s="116"/>
      <c r="DC10" s="116"/>
      <c r="DD10" s="116"/>
      <c r="DE10" s="122"/>
      <c r="DF10" s="94"/>
      <c r="DG10" s="116"/>
      <c r="DH10" s="116"/>
      <c r="DI10" s="116"/>
      <c r="DJ10" s="116"/>
      <c r="DK10" s="122"/>
      <c r="DL10" s="94"/>
      <c r="DM10" s="116"/>
      <c r="DN10" s="116"/>
      <c r="DO10" s="116"/>
      <c r="DP10" s="116"/>
      <c r="DQ10" s="122"/>
      <c r="DR10" s="94"/>
      <c r="DS10" s="116"/>
      <c r="DT10" s="116"/>
      <c r="DU10" s="116"/>
      <c r="DV10" s="116"/>
      <c r="DW10" s="122"/>
      <c r="DX10" s="94"/>
      <c r="DY10" s="116"/>
      <c r="DZ10" s="116"/>
      <c r="EA10" s="116"/>
      <c r="EB10" s="116"/>
      <c r="EC10" s="122"/>
      <c r="ED10" s="94"/>
      <c r="EE10" s="116"/>
      <c r="EF10" s="116"/>
      <c r="EG10" s="116"/>
      <c r="EH10" s="116"/>
      <c r="EI10" s="116"/>
      <c r="EJ10" s="94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24" t="str">
        <f>sGeneralDuties</f>
        <v>sM5,sF5,sM6,sM7,sF6,sF7,sM8,sM9,sF8,sM10,sF9,sM11</v>
      </c>
      <c r="FA10" s="124" t="str">
        <f>sGeneralDuties</f>
        <v>sM5,sF5,sM6,sM7,sF6,sF7,sM8,sM9,sF8,sM10,sF9,sM11</v>
      </c>
      <c r="FB10" s="116"/>
      <c r="FC10" s="123" t="str">
        <f>sGeneralDuties</f>
        <v>sM5,sF5,sM6,sM7,sF6,sF7,sM8,sM9,sF8,sM10,sF9,sM11</v>
      </c>
      <c r="FD10" s="123" t="str">
        <f>sGeneralDuties</f>
        <v>sM5,sF5,sM6,sM7,sF6,sF7,sM8,sM9,sF8,sM10,sF9,sM11</v>
      </c>
      <c r="FE10" s="123" t="str">
        <f>sGeneralDuties</f>
        <v>sM5,sF5,sM6,sM7,sF6,sF7,sM8,sM9,sF8,sM10,sF9,sM11</v>
      </c>
      <c r="FF10" s="94" t="str">
        <f>sGeneralDuties</f>
        <v>sM5,sF5,sM6,sM7,sF6,sF7,sM8,sM9,sF8,sM10,sF9,sM11</v>
      </c>
      <c r="FG10" s="116" t="str">
        <f>sGeneralDuties</f>
        <v>sM5,sF5,sM6,sM7,sF6,sF7,sM8,sM9,sF8,sM10,sF9,sM11</v>
      </c>
      <c r="FH10" s="116" t="str">
        <f>sGeneralDuties</f>
        <v>sM5,sF5,sM6,sM7,sF6,sF7,sM8,sM9,sF8,sM10,sF9,sM11</v>
      </c>
      <c r="FI10" s="122" t="str">
        <f>sGeneralDuties</f>
        <v>sM5,sF5,sM6,sM7,sF6,sF7,sM8,sM9,sF8,sM10,sF9,sM11</v>
      </c>
      <c r="FJ10" s="94" t="str">
        <f>sGeneralDuties</f>
        <v>sM5,sF5,sM6,sM7,sF6,sF7,sM8,sM9,sF8,sM10,sF9,sM11</v>
      </c>
      <c r="FK10" s="116" t="str">
        <f>sGeneralDuties</f>
        <v>sM5,sF5,sM6,sM7,sF6,sF7,sM8,sM9,sF8,sM10,sF9,sM11</v>
      </c>
      <c r="FL10" s="122" t="str">
        <f>sGeneralDuties</f>
        <v>sM5,sF5,sM6,sM7,sF6,sF7,sM8,sM9,sF8,sM10,sF9,sM11</v>
      </c>
      <c r="FM10" s="116" t="str">
        <f>sGeneralDuties</f>
        <v>sM5,sF5,sM6,sM7,sF6,sF7,sM8,sM9,sF8,sM10,sF9,sM11</v>
      </c>
      <c r="FN10" s="116" t="str">
        <f>sGeneralDuties</f>
        <v>sM5,sF5,sM6,sM7,sF6,sF7,sM8,sM9,sF8,sM10,sF9,sM11</v>
      </c>
      <c r="FO10" s="116" t="str">
        <f>sGeneralDuties</f>
        <v>sM5,sF5,sM6,sM7,sF6,sF7,sM8,sM9,sF8,sM10,sF9,sM11</v>
      </c>
      <c r="FP10" s="116" t="str">
        <f>sGeneralDuties</f>
        <v>sM5,sF5,sM6,sM7,sF6,sF7,sM8,sM9,sF8,sM10,sF9,sM11</v>
      </c>
      <c r="FQ10" s="116" t="str">
        <f>sGeneralDuties</f>
        <v>sM5,sF5,sM6,sM7,sF6,sF7,sM8,sM9,sF8,sM10,sF9,sM11</v>
      </c>
      <c r="FR10" s="94" t="s">
        <v>190</v>
      </c>
      <c r="FS10" s="116" t="s">
        <v>190</v>
      </c>
      <c r="FT10" s="116" t="s">
        <v>190</v>
      </c>
      <c r="FU10" s="116" t="s">
        <v>190</v>
      </c>
      <c r="FV10" s="122" t="s">
        <v>190</v>
      </c>
      <c r="FW10" s="116" t="s">
        <v>194</v>
      </c>
      <c r="FX10" s="116" t="s">
        <v>194</v>
      </c>
      <c r="FY10" s="116" t="s">
        <v>195</v>
      </c>
      <c r="FZ10" s="116" t="s">
        <v>196</v>
      </c>
      <c r="GA10" s="116" t="str">
        <f>sGeneralDuties</f>
        <v>sM5,sF5,sM6,sM7,sF6,sF7,sM8,sM9,sF8,sM10,sF9,sM11</v>
      </c>
      <c r="GB10" s="116" t="s">
        <v>602</v>
      </c>
      <c r="GC10" s="116" t="s">
        <v>195</v>
      </c>
      <c r="GD10" s="116" t="s">
        <v>204</v>
      </c>
      <c r="GE10" s="116" t="s">
        <v>197</v>
      </c>
      <c r="GF10" s="116"/>
      <c r="GG10" s="116" t="s">
        <v>197</v>
      </c>
      <c r="GH10" s="94"/>
      <c r="GI10" s="116"/>
      <c r="GJ10" s="116"/>
      <c r="GK10" s="122"/>
      <c r="GL10" s="116"/>
      <c r="GM10" s="116"/>
      <c r="GN10" s="122"/>
      <c r="GO10" s="116"/>
      <c r="GP10" s="116"/>
      <c r="GQ10" s="122"/>
      <c r="GR10" s="116"/>
      <c r="GS10" s="116"/>
      <c r="GT10" s="116"/>
      <c r="GU10" s="94" t="s">
        <v>191</v>
      </c>
      <c r="GV10" s="116" t="s">
        <v>191</v>
      </c>
      <c r="GW10" s="116" t="s">
        <v>192</v>
      </c>
      <c r="GX10" s="116" t="s">
        <v>193</v>
      </c>
      <c r="GY10" s="116" t="s">
        <v>191</v>
      </c>
      <c r="GZ10" s="116" t="s">
        <v>200</v>
      </c>
      <c r="HA10" s="116" t="s">
        <v>194</v>
      </c>
      <c r="HB10" s="116" t="s">
        <v>595</v>
      </c>
      <c r="HC10" s="116" t="s">
        <v>203</v>
      </c>
      <c r="HD10" s="116"/>
      <c r="HE10" s="116"/>
      <c r="HF10" s="116" t="s">
        <v>178</v>
      </c>
      <c r="HG10" s="116" t="s">
        <v>178</v>
      </c>
      <c r="HH10" s="116" t="s">
        <v>178</v>
      </c>
      <c r="HI10" s="116" t="s">
        <v>178</v>
      </c>
      <c r="HJ10" s="116" t="s">
        <v>178</v>
      </c>
      <c r="HK10" s="116" t="s">
        <v>178</v>
      </c>
      <c r="HL10" s="116"/>
      <c r="HM10" s="116" t="s">
        <v>178</v>
      </c>
      <c r="HN10" s="116"/>
      <c r="HO10" s="116"/>
      <c r="HP10" s="116"/>
      <c r="HQ10" s="116"/>
      <c r="HR10" s="94" t="s">
        <v>204</v>
      </c>
      <c r="HS10" s="116" t="s">
        <v>205</v>
      </c>
      <c r="HT10" s="116" t="s">
        <v>199</v>
      </c>
      <c r="HU10" s="116" t="s">
        <v>204</v>
      </c>
      <c r="HV10" s="125" t="s">
        <v>205</v>
      </c>
      <c r="HW10" s="116"/>
      <c r="HX10" s="116"/>
      <c r="HY10" s="116"/>
      <c r="HZ10" s="122"/>
      <c r="IA10" s="116"/>
      <c r="IB10" s="122"/>
      <c r="IC10" s="116"/>
      <c r="ID10" s="116"/>
      <c r="IE10" s="122"/>
      <c r="IF10" s="116"/>
      <c r="IG10" s="116"/>
      <c r="IH10" s="122"/>
      <c r="II10" s="116" t="s">
        <v>600</v>
      </c>
      <c r="IJ10" s="122" t="s">
        <v>599</v>
      </c>
      <c r="IK10" s="116"/>
      <c r="IL10" s="122"/>
      <c r="IM10" s="116"/>
      <c r="IN10" s="116"/>
      <c r="IO10" s="116"/>
      <c r="IP10" s="116"/>
      <c r="IQ10" s="116"/>
      <c r="IR10" s="116"/>
      <c r="IS10" s="116"/>
      <c r="IT10" s="116"/>
      <c r="IU10" s="116"/>
      <c r="IV10" s="116"/>
      <c r="IW10" s="116"/>
      <c r="IX10" s="94" t="s">
        <v>206</v>
      </c>
      <c r="IY10" s="123"/>
      <c r="IZ10" s="123" t="s">
        <v>207</v>
      </c>
      <c r="JA10" s="123" t="s">
        <v>204</v>
      </c>
      <c r="JB10" s="123"/>
      <c r="JC10" s="123"/>
      <c r="JD10" s="123"/>
      <c r="JE10" s="123"/>
      <c r="JF10" s="123" t="s">
        <v>208</v>
      </c>
      <c r="JG10" s="123"/>
      <c r="JH10" s="123"/>
      <c r="JI10" s="123"/>
      <c r="JJ10" s="123"/>
      <c r="JK10" s="123" t="s">
        <v>209</v>
      </c>
      <c r="JL10" s="123" t="s">
        <v>601</v>
      </c>
      <c r="JM10" s="123"/>
      <c r="JN10" s="126"/>
      <c r="JO10" s="126"/>
      <c r="JP10" s="126"/>
      <c r="JQ10" s="126"/>
      <c r="JR10" s="126"/>
      <c r="JS10" s="126"/>
      <c r="JT10" s="126"/>
      <c r="JU10" s="126"/>
      <c r="JV10" s="126"/>
      <c r="JW10" s="126"/>
      <c r="JX10" s="126"/>
      <c r="JY10" s="126"/>
      <c r="JZ10" s="126"/>
      <c r="KA10" s="126"/>
      <c r="KB10" s="126"/>
      <c r="KC10" s="126"/>
      <c r="KD10" s="126"/>
      <c r="KE10" s="126"/>
      <c r="KF10" s="126"/>
      <c r="KG10" s="126"/>
      <c r="KH10" s="126"/>
      <c r="KI10" s="126"/>
      <c r="KJ10" s="126"/>
      <c r="KK10" s="126"/>
      <c r="KL10" s="126"/>
      <c r="KM10" s="126"/>
      <c r="KN10" s="126"/>
      <c r="KO10" s="126"/>
      <c r="KP10" s="126"/>
      <c r="KQ10" s="126"/>
      <c r="KR10" s="126"/>
      <c r="KS10" s="126"/>
      <c r="KT10" s="126"/>
      <c r="KU10" s="126"/>
      <c r="KV10" s="126"/>
      <c r="KW10" s="126"/>
      <c r="KX10" s="126"/>
      <c r="KY10" s="126"/>
      <c r="KZ10" s="126"/>
      <c r="LA10" s="126"/>
      <c r="LB10" s="126"/>
      <c r="LC10" s="126"/>
      <c r="LD10" s="126"/>
      <c r="LE10" s="126"/>
      <c r="LF10" s="126"/>
      <c r="LG10" s="126"/>
      <c r="LH10" s="126"/>
      <c r="LI10" s="126"/>
      <c r="LJ10" s="126"/>
      <c r="LK10" s="126"/>
      <c r="LL10" s="126"/>
      <c r="LM10" s="126"/>
      <c r="LN10" s="126"/>
      <c r="LO10" s="126"/>
      <c r="LP10" s="126"/>
      <c r="LQ10" s="126"/>
      <c r="LR10" s="126"/>
      <c r="LS10" s="126"/>
      <c r="LT10" s="126"/>
      <c r="LU10" s="126"/>
      <c r="LV10" s="126"/>
      <c r="LW10" s="126"/>
      <c r="LX10" s="126"/>
      <c r="LY10" s="126"/>
      <c r="LZ10" s="126"/>
      <c r="MA10" s="126"/>
      <c r="MB10" s="126"/>
      <c r="MC10" s="126"/>
      <c r="MD10" s="126"/>
      <c r="ME10" s="126"/>
      <c r="MF10" s="126"/>
      <c r="MG10" s="126"/>
      <c r="MH10" s="126"/>
      <c r="MI10" s="126"/>
      <c r="MJ10" s="126"/>
      <c r="MK10" s="126"/>
      <c r="ML10" s="126"/>
      <c r="MM10" s="126"/>
      <c r="MN10" s="126"/>
      <c r="MO10" s="126"/>
      <c r="MP10" s="126"/>
      <c r="MQ10" s="126"/>
      <c r="MR10" s="126"/>
      <c r="MS10" s="126"/>
      <c r="MT10" s="126"/>
      <c r="MU10" s="126"/>
      <c r="MV10" s="126"/>
      <c r="MW10" s="126"/>
      <c r="MX10" s="126"/>
      <c r="MY10" s="126"/>
      <c r="MZ10" s="126"/>
      <c r="NA10" s="126"/>
      <c r="NB10" s="126"/>
      <c r="NC10" s="126"/>
      <c r="ND10" s="126"/>
      <c r="NE10" s="126"/>
      <c r="NF10" s="126"/>
      <c r="NG10" s="126"/>
      <c r="NH10" s="126"/>
      <c r="NI10" s="126"/>
      <c r="NJ10" s="126"/>
      <c r="NK10" s="126"/>
      <c r="NL10" s="126"/>
      <c r="NM10" s="126"/>
      <c r="NN10" s="126"/>
      <c r="NO10" s="126"/>
      <c r="NP10" s="126"/>
      <c r="NQ10" s="126"/>
      <c r="NR10" s="126"/>
      <c r="NS10" s="126"/>
      <c r="NT10" s="126"/>
      <c r="NU10" s="126"/>
      <c r="NV10" s="126"/>
      <c r="NW10" s="126"/>
      <c r="NX10" s="126"/>
      <c r="NY10" s="126"/>
      <c r="NZ10" s="126"/>
      <c r="OA10" s="126"/>
      <c r="OB10" s="126"/>
      <c r="OC10" s="126"/>
      <c r="OD10" s="126"/>
      <c r="OE10" s="126"/>
      <c r="OF10" s="126"/>
      <c r="OG10" s="126"/>
      <c r="OH10" s="126"/>
      <c r="OI10" s="126"/>
      <c r="OJ10" s="126"/>
      <c r="OK10" s="126"/>
      <c r="OL10" s="126"/>
      <c r="OM10" s="126"/>
      <c r="ON10" s="126"/>
      <c r="OO10" s="126"/>
      <c r="OP10" s="126"/>
      <c r="OQ10" s="126"/>
      <c r="OR10" s="126"/>
      <c r="OS10" s="126"/>
      <c r="OT10" s="126"/>
      <c r="OU10" s="126"/>
      <c r="OV10" s="126"/>
      <c r="OW10" s="126"/>
      <c r="OX10" s="126"/>
      <c r="OY10" s="126"/>
      <c r="OZ10" s="126"/>
      <c r="PA10" s="126"/>
      <c r="PB10" s="126"/>
      <c r="PC10" s="126"/>
      <c r="PD10" s="126"/>
      <c r="PE10" s="126"/>
      <c r="PF10" s="126"/>
      <c r="PG10" s="126"/>
      <c r="PH10" s="126"/>
      <c r="PI10" s="126"/>
      <c r="PJ10" s="126"/>
      <c r="PK10" s="126"/>
      <c r="PL10" s="126"/>
      <c r="PM10" s="126"/>
      <c r="PN10" s="126"/>
      <c r="PO10" s="126"/>
      <c r="PP10" s="126"/>
      <c r="PQ10" s="126"/>
      <c r="PR10" s="126"/>
      <c r="PS10" s="126"/>
      <c r="PT10" s="126"/>
      <c r="PU10" s="126"/>
      <c r="PV10" s="126"/>
      <c r="PW10" s="126"/>
      <c r="PX10" s="126"/>
      <c r="PY10" s="126"/>
      <c r="PZ10" s="126"/>
      <c r="QA10" s="126"/>
      <c r="QB10" s="126"/>
      <c r="QC10" s="126"/>
      <c r="QD10" s="126"/>
      <c r="QE10" s="126"/>
      <c r="QF10" s="126"/>
      <c r="QG10" s="126"/>
      <c r="QH10" s="126"/>
      <c r="QI10" s="126"/>
      <c r="QJ10" s="126"/>
      <c r="QK10" s="126"/>
      <c r="QL10" s="126"/>
      <c r="QM10" s="126"/>
      <c r="QN10" s="126"/>
      <c r="QO10" s="126"/>
    </row>
    <row r="11" spans="1:457">
      <c r="A11" s="141" t="s">
        <v>210</v>
      </c>
      <c r="B11" s="95"/>
      <c r="E11" s="99">
        <f>COUNTIF(E13:E503,"Y")</f>
        <v>7</v>
      </c>
      <c r="F11" s="97">
        <f t="shared" ref="F11:BQ11" si="0">COUNTIF(F13:F503,"Y")</f>
        <v>8</v>
      </c>
      <c r="G11" s="97">
        <f t="shared" si="0"/>
        <v>7</v>
      </c>
      <c r="H11" s="97">
        <f t="shared" si="0"/>
        <v>4</v>
      </c>
      <c r="I11" s="97">
        <f t="shared" si="0"/>
        <v>5</v>
      </c>
      <c r="J11" s="97">
        <f t="shared" si="0"/>
        <v>6</v>
      </c>
      <c r="K11" s="98">
        <f t="shared" si="0"/>
        <v>6</v>
      </c>
      <c r="L11" s="99">
        <f t="shared" si="0"/>
        <v>8</v>
      </c>
      <c r="M11" s="97">
        <f t="shared" si="0"/>
        <v>6</v>
      </c>
      <c r="N11" s="97">
        <f t="shared" si="0"/>
        <v>6</v>
      </c>
      <c r="O11" s="98">
        <f t="shared" si="0"/>
        <v>4</v>
      </c>
      <c r="P11" s="99">
        <f t="shared" si="0"/>
        <v>5</v>
      </c>
      <c r="Q11" s="97">
        <f t="shared" si="0"/>
        <v>6</v>
      </c>
      <c r="R11" s="97">
        <f t="shared" si="0"/>
        <v>7</v>
      </c>
      <c r="S11" s="97">
        <f t="shared" si="0"/>
        <v>5</v>
      </c>
      <c r="T11" s="97">
        <f t="shared" si="0"/>
        <v>6</v>
      </c>
      <c r="U11" s="98">
        <f t="shared" si="0"/>
        <v>4</v>
      </c>
      <c r="V11" s="99">
        <f t="shared" si="0"/>
        <v>8</v>
      </c>
      <c r="W11" s="97">
        <f t="shared" si="0"/>
        <v>7</v>
      </c>
      <c r="X11" s="97">
        <f t="shared" si="0"/>
        <v>5</v>
      </c>
      <c r="Y11" s="97">
        <f t="shared" si="0"/>
        <v>7</v>
      </c>
      <c r="Z11" s="97">
        <f t="shared" si="0"/>
        <v>9</v>
      </c>
      <c r="AA11" s="97">
        <f t="shared" si="0"/>
        <v>5</v>
      </c>
      <c r="AB11" s="98">
        <f t="shared" si="0"/>
        <v>2</v>
      </c>
      <c r="AC11" s="99">
        <f t="shared" si="0"/>
        <v>8</v>
      </c>
      <c r="AD11" s="97">
        <f t="shared" si="0"/>
        <v>7</v>
      </c>
      <c r="AE11" s="97">
        <f t="shared" si="0"/>
        <v>1</v>
      </c>
      <c r="AF11" s="97">
        <f t="shared" si="0"/>
        <v>3</v>
      </c>
      <c r="AG11" s="97">
        <f t="shared" si="0"/>
        <v>8</v>
      </c>
      <c r="AH11" s="98">
        <f t="shared" si="0"/>
        <v>4</v>
      </c>
      <c r="AI11" s="99">
        <f t="shared" si="0"/>
        <v>8</v>
      </c>
      <c r="AJ11" s="97">
        <f t="shared" si="0"/>
        <v>8</v>
      </c>
      <c r="AK11" s="97">
        <f t="shared" si="0"/>
        <v>9</v>
      </c>
      <c r="AL11" s="97">
        <f t="shared" si="0"/>
        <v>4</v>
      </c>
      <c r="AM11" s="97">
        <f t="shared" si="0"/>
        <v>5</v>
      </c>
      <c r="AN11" s="97">
        <f t="shared" si="0"/>
        <v>2</v>
      </c>
      <c r="AO11" s="98">
        <f t="shared" si="0"/>
        <v>3</v>
      </c>
      <c r="AP11" s="99">
        <f t="shared" si="0"/>
        <v>8</v>
      </c>
      <c r="AQ11" s="97">
        <f t="shared" si="0"/>
        <v>8</v>
      </c>
      <c r="AR11" s="97">
        <f t="shared" si="0"/>
        <v>9</v>
      </c>
      <c r="AS11" s="98">
        <f t="shared" si="0"/>
        <v>3</v>
      </c>
      <c r="AT11" s="99">
        <f t="shared" si="0"/>
        <v>9</v>
      </c>
      <c r="AU11" s="97">
        <f t="shared" si="0"/>
        <v>9</v>
      </c>
      <c r="AV11" s="97">
        <f t="shared" si="0"/>
        <v>7</v>
      </c>
      <c r="AW11" s="97">
        <f t="shared" si="0"/>
        <v>6</v>
      </c>
      <c r="AX11" s="97">
        <f t="shared" si="0"/>
        <v>5</v>
      </c>
      <c r="AY11" s="98">
        <f t="shared" si="0"/>
        <v>4</v>
      </c>
      <c r="AZ11" s="99">
        <f t="shared" si="0"/>
        <v>9</v>
      </c>
      <c r="BA11" s="97">
        <f t="shared" si="0"/>
        <v>7</v>
      </c>
      <c r="BB11" s="97">
        <f t="shared" si="0"/>
        <v>4</v>
      </c>
      <c r="BC11" s="97">
        <f t="shared" si="0"/>
        <v>3</v>
      </c>
      <c r="BD11" s="97">
        <f t="shared" si="0"/>
        <v>3</v>
      </c>
      <c r="BE11" s="97">
        <f t="shared" si="0"/>
        <v>6</v>
      </c>
      <c r="BF11" s="98">
        <f t="shared" si="0"/>
        <v>3</v>
      </c>
      <c r="BG11" s="99">
        <f t="shared" si="0"/>
        <v>8</v>
      </c>
      <c r="BH11" s="97">
        <f t="shared" si="0"/>
        <v>7</v>
      </c>
      <c r="BI11" s="97">
        <f t="shared" si="0"/>
        <v>4</v>
      </c>
      <c r="BJ11" s="97">
        <f t="shared" si="0"/>
        <v>2</v>
      </c>
      <c r="BK11" s="98">
        <f t="shared" si="0"/>
        <v>3</v>
      </c>
      <c r="BL11" s="99">
        <f t="shared" si="0"/>
        <v>7</v>
      </c>
      <c r="BM11" s="97">
        <f t="shared" si="0"/>
        <v>5</v>
      </c>
      <c r="BN11" s="97">
        <f t="shared" si="0"/>
        <v>6</v>
      </c>
      <c r="BO11" s="97">
        <f t="shared" si="0"/>
        <v>7</v>
      </c>
      <c r="BP11" s="97">
        <f t="shared" si="0"/>
        <v>7</v>
      </c>
      <c r="BQ11" s="97">
        <f t="shared" si="0"/>
        <v>9</v>
      </c>
      <c r="BR11" s="97">
        <f t="shared" ref="BR11:EC11" si="1">COUNTIF(BR13:BR503,"Y")</f>
        <v>8</v>
      </c>
      <c r="BS11" s="98">
        <f t="shared" si="1"/>
        <v>6</v>
      </c>
      <c r="BT11" s="95">
        <f t="shared" si="1"/>
        <v>6</v>
      </c>
      <c r="BU11" s="95">
        <f t="shared" si="1"/>
        <v>9</v>
      </c>
      <c r="BV11" s="95">
        <f t="shared" si="1"/>
        <v>10</v>
      </c>
      <c r="BW11" s="95">
        <f t="shared" si="1"/>
        <v>8</v>
      </c>
      <c r="BX11" s="95">
        <f t="shared" si="1"/>
        <v>4</v>
      </c>
      <c r="BY11" s="99">
        <f t="shared" si="1"/>
        <v>8</v>
      </c>
      <c r="BZ11" s="97">
        <f t="shared" si="1"/>
        <v>8</v>
      </c>
      <c r="CA11" s="97">
        <f t="shared" si="1"/>
        <v>10</v>
      </c>
      <c r="CB11" s="97">
        <f t="shared" si="1"/>
        <v>8</v>
      </c>
      <c r="CC11" s="97">
        <f t="shared" si="1"/>
        <v>4</v>
      </c>
      <c r="CD11" s="98">
        <f t="shared" si="1"/>
        <v>8</v>
      </c>
      <c r="CE11" s="95">
        <f t="shared" si="1"/>
        <v>7</v>
      </c>
      <c r="CF11" s="95">
        <f t="shared" si="1"/>
        <v>10</v>
      </c>
      <c r="CG11" s="95">
        <f t="shared" si="1"/>
        <v>8</v>
      </c>
      <c r="CH11" s="95">
        <f t="shared" si="1"/>
        <v>8</v>
      </c>
      <c r="CI11" s="95">
        <f t="shared" si="1"/>
        <v>4</v>
      </c>
      <c r="CJ11" s="99">
        <f t="shared" si="1"/>
        <v>10</v>
      </c>
      <c r="CK11" s="97">
        <f t="shared" si="1"/>
        <v>9</v>
      </c>
      <c r="CL11" s="98">
        <f t="shared" si="1"/>
        <v>4</v>
      </c>
      <c r="CM11" s="95">
        <f t="shared" si="1"/>
        <v>10</v>
      </c>
      <c r="CN11" s="95">
        <f t="shared" si="1"/>
        <v>4</v>
      </c>
      <c r="CO11" s="95">
        <f t="shared" si="1"/>
        <v>0</v>
      </c>
      <c r="CP11" s="99">
        <f t="shared" si="1"/>
        <v>7</v>
      </c>
      <c r="CQ11" s="97">
        <f t="shared" si="1"/>
        <v>8</v>
      </c>
      <c r="CR11" s="97">
        <f t="shared" si="1"/>
        <v>7</v>
      </c>
      <c r="CS11" s="97">
        <f t="shared" si="1"/>
        <v>7</v>
      </c>
      <c r="CT11" s="98">
        <f t="shared" si="1"/>
        <v>4</v>
      </c>
      <c r="CU11" s="99">
        <f t="shared" si="1"/>
        <v>12</v>
      </c>
      <c r="CV11" s="97">
        <f t="shared" si="1"/>
        <v>12</v>
      </c>
      <c r="CW11" s="97">
        <f t="shared" si="1"/>
        <v>8</v>
      </c>
      <c r="CX11" s="97">
        <f t="shared" si="1"/>
        <v>7</v>
      </c>
      <c r="CY11" s="97">
        <f t="shared" si="1"/>
        <v>7</v>
      </c>
      <c r="CZ11" s="98">
        <f t="shared" si="1"/>
        <v>4</v>
      </c>
      <c r="DA11" s="99">
        <f t="shared" si="1"/>
        <v>12</v>
      </c>
      <c r="DB11" s="97">
        <f t="shared" si="1"/>
        <v>8</v>
      </c>
      <c r="DC11" s="97">
        <f t="shared" si="1"/>
        <v>7</v>
      </c>
      <c r="DD11" s="97">
        <f t="shared" si="1"/>
        <v>7</v>
      </c>
      <c r="DE11" s="98">
        <f t="shared" si="1"/>
        <v>3</v>
      </c>
      <c r="DF11" s="99">
        <f t="shared" si="1"/>
        <v>0</v>
      </c>
      <c r="DG11" s="97">
        <f t="shared" si="1"/>
        <v>0</v>
      </c>
      <c r="DH11" s="97">
        <f t="shared" si="1"/>
        <v>0</v>
      </c>
      <c r="DI11" s="97">
        <f t="shared" si="1"/>
        <v>0</v>
      </c>
      <c r="DJ11" s="97">
        <f t="shared" si="1"/>
        <v>0</v>
      </c>
      <c r="DK11" s="98">
        <f t="shared" si="1"/>
        <v>0</v>
      </c>
      <c r="DL11" s="99">
        <f t="shared" si="1"/>
        <v>1</v>
      </c>
      <c r="DM11" s="97">
        <f t="shared" si="1"/>
        <v>1</v>
      </c>
      <c r="DN11" s="97">
        <f t="shared" si="1"/>
        <v>3</v>
      </c>
      <c r="DO11" s="97">
        <f t="shared" si="1"/>
        <v>1</v>
      </c>
      <c r="DP11" s="97">
        <f t="shared" si="1"/>
        <v>1</v>
      </c>
      <c r="DQ11" s="98">
        <f t="shared" si="1"/>
        <v>0</v>
      </c>
      <c r="DR11" s="99">
        <f t="shared" si="1"/>
        <v>1</v>
      </c>
      <c r="DS11" s="97">
        <f t="shared" si="1"/>
        <v>1</v>
      </c>
      <c r="DT11" s="97">
        <f t="shared" si="1"/>
        <v>1</v>
      </c>
      <c r="DU11" s="97">
        <f t="shared" si="1"/>
        <v>1</v>
      </c>
      <c r="DV11" s="97">
        <f t="shared" si="1"/>
        <v>1</v>
      </c>
      <c r="DW11" s="98">
        <f t="shared" si="1"/>
        <v>0</v>
      </c>
      <c r="DX11" s="99">
        <f t="shared" si="1"/>
        <v>1</v>
      </c>
      <c r="DY11" s="97">
        <f t="shared" si="1"/>
        <v>1</v>
      </c>
      <c r="DZ11" s="97">
        <f t="shared" si="1"/>
        <v>1</v>
      </c>
      <c r="EA11" s="97">
        <f t="shared" si="1"/>
        <v>1</v>
      </c>
      <c r="EB11" s="97">
        <f t="shared" si="1"/>
        <v>1</v>
      </c>
      <c r="EC11" s="98">
        <f t="shared" si="1"/>
        <v>0</v>
      </c>
      <c r="ED11" s="99">
        <f t="shared" ref="ED11:GO11" si="2">COUNTIF(ED13:ED503,"Y")</f>
        <v>1</v>
      </c>
      <c r="EE11" s="97">
        <f t="shared" si="2"/>
        <v>1</v>
      </c>
      <c r="EF11" s="97">
        <f t="shared" si="2"/>
        <v>1</v>
      </c>
      <c r="EG11" s="97">
        <f t="shared" si="2"/>
        <v>1</v>
      </c>
      <c r="EH11" s="97">
        <f t="shared" si="2"/>
        <v>1</v>
      </c>
      <c r="EI11" s="97">
        <f t="shared" si="2"/>
        <v>0</v>
      </c>
      <c r="EJ11" s="99">
        <f t="shared" si="2"/>
        <v>1</v>
      </c>
      <c r="EK11" s="97">
        <f t="shared" si="2"/>
        <v>0</v>
      </c>
      <c r="EL11" s="97">
        <f t="shared" si="2"/>
        <v>0</v>
      </c>
      <c r="EM11" s="97">
        <f t="shared" si="2"/>
        <v>0</v>
      </c>
      <c r="EN11" s="97">
        <f t="shared" si="2"/>
        <v>1</v>
      </c>
      <c r="EO11" s="97">
        <f t="shared" si="2"/>
        <v>2</v>
      </c>
      <c r="EP11" s="97">
        <f t="shared" si="2"/>
        <v>2</v>
      </c>
      <c r="EQ11" s="97">
        <f t="shared" si="2"/>
        <v>1</v>
      </c>
      <c r="ER11" s="97">
        <f t="shared" si="2"/>
        <v>1</v>
      </c>
      <c r="ES11" s="97">
        <f t="shared" si="2"/>
        <v>1</v>
      </c>
      <c r="ET11" s="97">
        <f t="shared" si="2"/>
        <v>2</v>
      </c>
      <c r="EU11" s="97">
        <f t="shared" si="2"/>
        <v>0</v>
      </c>
      <c r="EV11" s="97">
        <f t="shared" si="2"/>
        <v>0</v>
      </c>
      <c r="EW11" s="97">
        <f t="shared" si="2"/>
        <v>0</v>
      </c>
      <c r="EX11" s="97">
        <f t="shared" si="2"/>
        <v>0</v>
      </c>
      <c r="EY11" s="97">
        <f t="shared" si="2"/>
        <v>0</v>
      </c>
      <c r="EZ11" s="127">
        <f t="shared" si="2"/>
        <v>4</v>
      </c>
      <c r="FA11" s="95">
        <f t="shared" si="2"/>
        <v>6</v>
      </c>
      <c r="FB11" s="95">
        <f t="shared" si="2"/>
        <v>4</v>
      </c>
      <c r="FC11" s="95">
        <f t="shared" si="2"/>
        <v>5</v>
      </c>
      <c r="FD11" s="95">
        <f t="shared" si="2"/>
        <v>5</v>
      </c>
      <c r="FE11" s="95">
        <f t="shared" si="2"/>
        <v>3</v>
      </c>
      <c r="FF11" s="99">
        <f t="shared" si="2"/>
        <v>4</v>
      </c>
      <c r="FG11" s="97">
        <f t="shared" si="2"/>
        <v>2</v>
      </c>
      <c r="FH11" s="97">
        <f t="shared" si="2"/>
        <v>2</v>
      </c>
      <c r="FI11" s="98">
        <f t="shared" si="2"/>
        <v>5</v>
      </c>
      <c r="FJ11" s="99">
        <f t="shared" si="2"/>
        <v>3</v>
      </c>
      <c r="FK11" s="97">
        <f t="shared" si="2"/>
        <v>4</v>
      </c>
      <c r="FL11" s="98">
        <f t="shared" si="2"/>
        <v>1</v>
      </c>
      <c r="FM11" s="99">
        <f t="shared" si="2"/>
        <v>3</v>
      </c>
      <c r="FN11" s="97">
        <f t="shared" si="2"/>
        <v>3</v>
      </c>
      <c r="FO11" s="97">
        <f t="shared" si="2"/>
        <v>1</v>
      </c>
      <c r="FP11" s="97">
        <f t="shared" si="2"/>
        <v>3</v>
      </c>
      <c r="FQ11" s="97">
        <f t="shared" si="2"/>
        <v>1</v>
      </c>
      <c r="FR11" s="99">
        <f t="shared" si="2"/>
        <v>3</v>
      </c>
      <c r="FS11" s="97">
        <f t="shared" si="2"/>
        <v>1</v>
      </c>
      <c r="FT11" s="97">
        <f t="shared" si="2"/>
        <v>3</v>
      </c>
      <c r="FU11" s="97">
        <f t="shared" si="2"/>
        <v>5</v>
      </c>
      <c r="FV11" s="98">
        <f t="shared" si="2"/>
        <v>2</v>
      </c>
      <c r="FW11" s="97">
        <f t="shared" si="2"/>
        <v>2</v>
      </c>
      <c r="FX11" s="97">
        <f t="shared" si="2"/>
        <v>1</v>
      </c>
      <c r="FY11" s="97">
        <f t="shared" si="2"/>
        <v>3</v>
      </c>
      <c r="FZ11" s="97">
        <f t="shared" si="2"/>
        <v>1</v>
      </c>
      <c r="GA11" s="97">
        <f t="shared" si="2"/>
        <v>1</v>
      </c>
      <c r="GB11" s="97">
        <f t="shared" si="2"/>
        <v>3</v>
      </c>
      <c r="GC11" s="97">
        <f t="shared" si="2"/>
        <v>2</v>
      </c>
      <c r="GD11" s="99">
        <f t="shared" si="2"/>
        <v>3</v>
      </c>
      <c r="GE11" s="97">
        <f t="shared" si="2"/>
        <v>2</v>
      </c>
      <c r="GF11" s="97">
        <f t="shared" si="2"/>
        <v>0</v>
      </c>
      <c r="GG11" s="97">
        <f t="shared" si="2"/>
        <v>3</v>
      </c>
      <c r="GH11" s="99">
        <f t="shared" si="2"/>
        <v>2</v>
      </c>
      <c r="GI11" s="97">
        <f t="shared" si="2"/>
        <v>2</v>
      </c>
      <c r="GJ11" s="97">
        <f t="shared" si="2"/>
        <v>2</v>
      </c>
      <c r="GK11" s="98">
        <f t="shared" si="2"/>
        <v>2</v>
      </c>
      <c r="GL11" s="97">
        <f t="shared" si="2"/>
        <v>3</v>
      </c>
      <c r="GM11" s="97">
        <f t="shared" si="2"/>
        <v>3</v>
      </c>
      <c r="GN11" s="98">
        <f t="shared" si="2"/>
        <v>1</v>
      </c>
      <c r="GO11" s="97">
        <f t="shared" si="2"/>
        <v>2</v>
      </c>
      <c r="GP11" s="97">
        <f t="shared" ref="GP11:IZ11" si="3">COUNTIF(GP13:GP503,"Y")</f>
        <v>2</v>
      </c>
      <c r="GQ11" s="98">
        <f t="shared" si="3"/>
        <v>1</v>
      </c>
      <c r="GR11" s="97">
        <f t="shared" si="3"/>
        <v>0</v>
      </c>
      <c r="GS11" s="97">
        <f t="shared" si="3"/>
        <v>0</v>
      </c>
      <c r="GT11" s="97">
        <f t="shared" si="3"/>
        <v>0</v>
      </c>
      <c r="GU11" s="99">
        <f t="shared" si="3"/>
        <v>2</v>
      </c>
      <c r="GV11" s="97">
        <f t="shared" si="3"/>
        <v>1</v>
      </c>
      <c r="GW11" s="97">
        <f t="shared" si="3"/>
        <v>0</v>
      </c>
      <c r="GX11" s="97">
        <f t="shared" si="3"/>
        <v>5</v>
      </c>
      <c r="GY11" s="97">
        <f t="shared" si="3"/>
        <v>3</v>
      </c>
      <c r="GZ11" s="99">
        <f t="shared" si="3"/>
        <v>1</v>
      </c>
      <c r="HA11" s="97">
        <f t="shared" si="3"/>
        <v>2</v>
      </c>
      <c r="HB11" s="97">
        <f t="shared" si="3"/>
        <v>1</v>
      </c>
      <c r="HC11" s="97">
        <f t="shared" si="3"/>
        <v>1</v>
      </c>
      <c r="HD11" s="97">
        <f t="shared" si="3"/>
        <v>2</v>
      </c>
      <c r="HE11" s="97">
        <f t="shared" si="3"/>
        <v>1</v>
      </c>
      <c r="HF11" s="99">
        <f t="shared" si="3"/>
        <v>2</v>
      </c>
      <c r="HG11" s="97">
        <f t="shared" si="3"/>
        <v>1</v>
      </c>
      <c r="HH11" s="97">
        <f t="shared" si="3"/>
        <v>1</v>
      </c>
      <c r="HI11" s="97">
        <f t="shared" si="3"/>
        <v>1</v>
      </c>
      <c r="HJ11" s="97">
        <f t="shared" si="3"/>
        <v>1</v>
      </c>
      <c r="HK11" s="97">
        <f t="shared" si="3"/>
        <v>0</v>
      </c>
      <c r="HL11" s="97">
        <f t="shared" si="3"/>
        <v>0</v>
      </c>
      <c r="HM11" s="97">
        <f t="shared" si="3"/>
        <v>2</v>
      </c>
      <c r="HN11" s="97">
        <f t="shared" si="3"/>
        <v>0</v>
      </c>
      <c r="HO11" s="97">
        <f t="shared" si="3"/>
        <v>0</v>
      </c>
      <c r="HP11" s="97">
        <f t="shared" si="3"/>
        <v>0</v>
      </c>
      <c r="HQ11" s="97">
        <f t="shared" si="3"/>
        <v>0</v>
      </c>
      <c r="HR11" s="99">
        <f t="shared" si="3"/>
        <v>0</v>
      </c>
      <c r="HS11" s="97">
        <f t="shared" si="3"/>
        <v>0</v>
      </c>
      <c r="HT11" s="128">
        <f t="shared" si="3"/>
        <v>0</v>
      </c>
      <c r="HU11" s="97">
        <f t="shared" si="3"/>
        <v>0</v>
      </c>
      <c r="HV11" s="100">
        <f t="shared" si="3"/>
        <v>0</v>
      </c>
      <c r="HW11" s="97">
        <f t="shared" si="3"/>
        <v>0</v>
      </c>
      <c r="HX11" s="97">
        <f t="shared" si="3"/>
        <v>0</v>
      </c>
      <c r="HY11" s="97">
        <f t="shared" si="3"/>
        <v>0</v>
      </c>
      <c r="HZ11" s="98">
        <f t="shared" si="3"/>
        <v>0</v>
      </c>
      <c r="IA11" s="97">
        <f t="shared" si="3"/>
        <v>0</v>
      </c>
      <c r="IB11" s="98">
        <f t="shared" si="3"/>
        <v>0</v>
      </c>
      <c r="IC11" s="97">
        <f t="shared" si="3"/>
        <v>0</v>
      </c>
      <c r="ID11" s="97">
        <f t="shared" si="3"/>
        <v>0</v>
      </c>
      <c r="IE11" s="98">
        <f t="shared" si="3"/>
        <v>0</v>
      </c>
      <c r="IF11" s="97">
        <f t="shared" si="3"/>
        <v>0</v>
      </c>
      <c r="IG11" s="97">
        <f t="shared" si="3"/>
        <v>0</v>
      </c>
      <c r="IH11" s="98">
        <f t="shared" si="3"/>
        <v>0</v>
      </c>
      <c r="II11" s="97">
        <f t="shared" si="3"/>
        <v>0</v>
      </c>
      <c r="IJ11" s="98">
        <f t="shared" si="3"/>
        <v>0</v>
      </c>
      <c r="IK11" s="97">
        <f t="shared" si="3"/>
        <v>3</v>
      </c>
      <c r="IL11" s="98">
        <f t="shared" si="3"/>
        <v>3</v>
      </c>
      <c r="IM11" s="97">
        <f t="shared" si="3"/>
        <v>0</v>
      </c>
      <c r="IN11" s="97">
        <f t="shared" si="3"/>
        <v>0</v>
      </c>
      <c r="IO11" s="97">
        <f t="shared" si="3"/>
        <v>0</v>
      </c>
      <c r="IP11" s="97">
        <f t="shared" si="3"/>
        <v>0</v>
      </c>
      <c r="IQ11" s="97">
        <f t="shared" si="3"/>
        <v>0</v>
      </c>
      <c r="IR11" s="97">
        <f t="shared" si="3"/>
        <v>0</v>
      </c>
      <c r="IS11" s="97">
        <f t="shared" si="3"/>
        <v>0</v>
      </c>
      <c r="IT11" s="97">
        <f t="shared" si="3"/>
        <v>0</v>
      </c>
      <c r="IU11" s="97">
        <f t="shared" si="3"/>
        <v>0</v>
      </c>
      <c r="IV11" s="97">
        <f t="shared" si="3"/>
        <v>0</v>
      </c>
      <c r="IW11" s="97">
        <f t="shared" si="3"/>
        <v>0</v>
      </c>
      <c r="IX11" s="99">
        <f t="shared" si="3"/>
        <v>0</v>
      </c>
      <c r="IY11" s="95">
        <f t="shared" si="3"/>
        <v>0</v>
      </c>
      <c r="IZ11" s="95">
        <f t="shared" si="3"/>
        <v>0</v>
      </c>
      <c r="JA11" s="95">
        <f t="shared" ref="JA11:JM11" si="4">COUNTIF(JA13:JA503,"Y")</f>
        <v>0</v>
      </c>
      <c r="JB11" s="95">
        <f t="shared" si="4"/>
        <v>0</v>
      </c>
      <c r="JC11" s="95">
        <f t="shared" si="4"/>
        <v>0</v>
      </c>
      <c r="JD11" s="95">
        <f t="shared" si="4"/>
        <v>0</v>
      </c>
      <c r="JE11" s="95">
        <f t="shared" si="4"/>
        <v>0</v>
      </c>
      <c r="JF11" s="95">
        <f t="shared" si="4"/>
        <v>0</v>
      </c>
      <c r="JG11" s="95">
        <f t="shared" si="4"/>
        <v>0</v>
      </c>
      <c r="JH11" s="95">
        <f t="shared" si="4"/>
        <v>0</v>
      </c>
      <c r="JI11" s="95">
        <f t="shared" si="4"/>
        <v>0</v>
      </c>
      <c r="JJ11" s="95">
        <f t="shared" si="4"/>
        <v>0</v>
      </c>
      <c r="JK11" s="95">
        <f t="shared" si="4"/>
        <v>0</v>
      </c>
      <c r="JL11" s="95">
        <f t="shared" si="4"/>
        <v>0</v>
      </c>
      <c r="JM11" s="95">
        <f t="shared" si="4"/>
        <v>0</v>
      </c>
    </row>
    <row r="12" spans="1:457">
      <c r="A12" s="95" t="s">
        <v>211</v>
      </c>
      <c r="B12" s="96" t="s">
        <v>212</v>
      </c>
      <c r="C12" s="95" t="s">
        <v>213</v>
      </c>
      <c r="D12" s="95" t="s">
        <v>46</v>
      </c>
      <c r="E12" s="97"/>
      <c r="K12" s="97"/>
      <c r="L12" s="97"/>
      <c r="O12" s="97"/>
      <c r="P12" s="97"/>
      <c r="U12" s="97"/>
      <c r="V12" s="97"/>
      <c r="AB12" s="97"/>
      <c r="AC12" s="97"/>
      <c r="AH12" s="97"/>
      <c r="AI12" s="97"/>
      <c r="AO12" s="97"/>
      <c r="AP12" s="97"/>
      <c r="AS12" s="97"/>
      <c r="AT12" s="97"/>
      <c r="AY12" s="97"/>
      <c r="AZ12" s="97"/>
      <c r="BF12" s="97"/>
      <c r="BG12" s="97"/>
      <c r="BK12" s="97"/>
      <c r="BL12" s="97"/>
      <c r="BS12" s="97"/>
      <c r="BT12" s="97"/>
      <c r="BU12" s="97"/>
      <c r="BV12" s="97"/>
      <c r="BW12" s="97"/>
      <c r="BX12" s="97"/>
      <c r="BY12" s="97"/>
      <c r="CD12" s="97"/>
      <c r="CE12" s="97"/>
      <c r="CF12" s="97"/>
      <c r="CG12" s="97"/>
      <c r="CH12" s="97"/>
      <c r="CI12" s="97"/>
      <c r="CJ12" s="97"/>
      <c r="CL12" s="97"/>
      <c r="CM12" s="97"/>
      <c r="CN12" s="97"/>
      <c r="CO12" s="97"/>
      <c r="CP12" s="97"/>
      <c r="CT12" s="97"/>
      <c r="CU12" s="97"/>
      <c r="CZ12" s="97"/>
      <c r="DA12" s="97"/>
      <c r="DE12" s="97"/>
      <c r="DF12" s="97"/>
      <c r="DK12" s="97"/>
      <c r="DL12" s="97"/>
      <c r="DQ12" s="97"/>
      <c r="DR12" s="97"/>
      <c r="DW12" s="97"/>
      <c r="DX12" s="97"/>
      <c r="EC12" s="97"/>
      <c r="ED12" s="97"/>
      <c r="EJ12" s="97"/>
      <c r="FA12" s="97"/>
      <c r="FB12" s="97"/>
      <c r="FC12" s="97"/>
      <c r="FD12" s="97"/>
      <c r="FE12" s="97"/>
      <c r="FF12" s="97"/>
      <c r="FJ12" s="97"/>
      <c r="FL12" s="97"/>
      <c r="FM12" s="97"/>
      <c r="GD12" s="97"/>
      <c r="GZ12" s="97"/>
      <c r="HF12" s="97"/>
      <c r="HR12" s="97"/>
      <c r="HV12" s="98"/>
    </row>
    <row r="13" spans="1:457">
      <c r="A13" s="95" t="s">
        <v>567</v>
      </c>
      <c r="B13" s="96" t="s">
        <v>215</v>
      </c>
      <c r="C13" s="95">
        <v>1</v>
      </c>
      <c r="D13" s="95">
        <f>COUNTA(E13:KX13)</f>
        <v>2</v>
      </c>
      <c r="E13" s="129"/>
      <c r="F13" s="130"/>
      <c r="G13" s="130"/>
      <c r="H13" s="130"/>
      <c r="I13" s="130"/>
      <c r="J13" s="130"/>
      <c r="K13" s="131"/>
      <c r="L13" s="129"/>
      <c r="M13" s="130"/>
      <c r="N13" s="130"/>
      <c r="O13" s="131"/>
      <c r="P13" s="129"/>
      <c r="Q13" s="130"/>
      <c r="R13" s="130"/>
      <c r="S13" s="130"/>
      <c r="T13" s="130"/>
      <c r="U13" s="131"/>
      <c r="V13" s="129"/>
      <c r="W13" s="130"/>
      <c r="X13" s="130"/>
      <c r="Y13" s="130"/>
      <c r="Z13" s="130"/>
      <c r="AA13" s="130"/>
      <c r="AB13" s="131"/>
      <c r="AC13" s="129"/>
      <c r="AD13" s="130"/>
      <c r="AE13" s="130"/>
      <c r="AF13" s="130"/>
      <c r="AG13" s="130"/>
      <c r="AH13" s="131"/>
      <c r="AI13" s="129"/>
      <c r="AJ13" s="130"/>
      <c r="AK13" s="130"/>
      <c r="AL13" s="130"/>
      <c r="AM13" s="130"/>
      <c r="AN13" s="130"/>
      <c r="AO13" s="131"/>
      <c r="AP13" s="129"/>
      <c r="AQ13" s="130"/>
      <c r="AR13" s="130"/>
      <c r="AS13" s="131"/>
      <c r="AT13" s="129"/>
      <c r="AU13" s="130"/>
      <c r="AV13" s="130"/>
      <c r="AW13" s="130"/>
      <c r="AX13" s="130"/>
      <c r="AY13" s="131"/>
      <c r="AZ13" s="129"/>
      <c r="BA13" s="130"/>
      <c r="BB13" s="130"/>
      <c r="BC13" s="130"/>
      <c r="BD13" s="130"/>
      <c r="BE13" s="130"/>
      <c r="BF13" s="131"/>
      <c r="BG13" s="129"/>
      <c r="BH13" s="130"/>
      <c r="BI13" s="130"/>
      <c r="BJ13" s="130"/>
      <c r="BK13" s="131"/>
      <c r="BL13" s="129"/>
      <c r="BM13" s="130"/>
      <c r="BN13" s="130"/>
      <c r="BO13" s="130"/>
      <c r="BP13" s="130"/>
      <c r="BQ13" s="130"/>
      <c r="BR13" s="130"/>
      <c r="BS13" s="131"/>
      <c r="BT13" s="132"/>
      <c r="BU13" s="132"/>
      <c r="BV13" s="132"/>
      <c r="BW13" s="132"/>
      <c r="BX13" s="132"/>
      <c r="BY13" s="129"/>
      <c r="BZ13" s="130"/>
      <c r="CA13" s="130"/>
      <c r="CB13" s="130"/>
      <c r="CC13" s="130"/>
      <c r="CD13" s="131"/>
      <c r="CE13" s="132"/>
      <c r="CF13" s="132"/>
      <c r="CG13" s="132"/>
      <c r="CH13" s="132"/>
      <c r="CI13" s="132"/>
      <c r="CJ13" s="129"/>
      <c r="CK13" s="130"/>
      <c r="CL13" s="131"/>
      <c r="CM13" s="132"/>
      <c r="CN13" s="132"/>
      <c r="CO13" s="132"/>
      <c r="CP13" s="129"/>
      <c r="CQ13" s="130"/>
      <c r="CR13" s="130"/>
      <c r="CS13" s="130"/>
      <c r="CT13" s="131"/>
      <c r="CU13" s="129"/>
      <c r="CV13" s="130"/>
      <c r="CW13" s="130"/>
      <c r="CX13" s="130"/>
      <c r="CY13" s="130"/>
      <c r="CZ13" s="131"/>
      <c r="DA13" s="129"/>
      <c r="DB13" s="130"/>
      <c r="DC13" s="130"/>
      <c r="DD13" s="130"/>
      <c r="DE13" s="131"/>
      <c r="DF13" s="129"/>
      <c r="DG13" s="130"/>
      <c r="DH13" s="130"/>
      <c r="DI13" s="130"/>
      <c r="DJ13" s="130"/>
      <c r="DK13" s="131"/>
      <c r="DL13" s="129"/>
      <c r="DM13" s="130"/>
      <c r="DN13" s="130"/>
      <c r="DO13" s="130"/>
      <c r="DP13" s="130"/>
      <c r="DQ13" s="131"/>
      <c r="DR13" s="129"/>
      <c r="DS13" s="130"/>
      <c r="DT13" s="130"/>
      <c r="DU13" s="130"/>
      <c r="DV13" s="130"/>
      <c r="DW13" s="131"/>
      <c r="DX13" s="129"/>
      <c r="DY13" s="130"/>
      <c r="DZ13" s="130"/>
      <c r="EA13" s="130"/>
      <c r="EB13" s="130"/>
      <c r="EC13" s="131"/>
      <c r="ED13" s="129"/>
      <c r="EE13" s="130"/>
      <c r="EF13" s="130"/>
      <c r="EG13" s="130"/>
      <c r="EH13" s="130"/>
      <c r="EI13" s="130"/>
      <c r="EJ13" s="129"/>
      <c r="EK13" s="130"/>
      <c r="EL13" s="130"/>
      <c r="EM13" s="130"/>
      <c r="EN13" s="130"/>
      <c r="EO13" s="130"/>
      <c r="EP13" s="130"/>
      <c r="EQ13" s="130"/>
      <c r="ER13" s="130"/>
      <c r="ES13" s="130"/>
      <c r="ET13" s="130"/>
      <c r="EU13" s="130"/>
      <c r="EV13" s="130"/>
      <c r="EW13" s="130"/>
      <c r="EX13" s="130"/>
      <c r="EY13" s="130"/>
      <c r="EZ13" s="133"/>
      <c r="FA13" s="132"/>
      <c r="FB13" s="132"/>
      <c r="FC13" s="132"/>
      <c r="FD13" s="132"/>
      <c r="FE13" s="132"/>
      <c r="FF13" s="129"/>
      <c r="FG13" s="130"/>
      <c r="FH13" s="130"/>
      <c r="FI13" s="130"/>
      <c r="FJ13" s="129"/>
      <c r="FK13" s="130"/>
      <c r="FL13" s="131"/>
      <c r="FM13" s="129"/>
      <c r="FX13" s="97" t="s">
        <v>149</v>
      </c>
      <c r="GA13" s="97" t="s">
        <v>149</v>
      </c>
    </row>
    <row r="14" spans="1:457" ht="30">
      <c r="A14" s="95" t="s">
        <v>214</v>
      </c>
      <c r="B14" s="96" t="s">
        <v>216</v>
      </c>
      <c r="C14" s="95">
        <v>1</v>
      </c>
      <c r="D14" s="95">
        <f>COUNTA(E14:KX14)</f>
        <v>5</v>
      </c>
      <c r="E14" s="129"/>
      <c r="F14" s="130"/>
      <c r="G14" s="130"/>
      <c r="H14" s="130"/>
      <c r="I14" s="130"/>
      <c r="J14" s="130"/>
      <c r="K14" s="131"/>
      <c r="L14" s="129"/>
      <c r="M14" s="130"/>
      <c r="N14" s="130"/>
      <c r="O14" s="131"/>
      <c r="P14" s="129"/>
      <c r="Q14" s="130"/>
      <c r="R14" s="130"/>
      <c r="S14" s="130"/>
      <c r="T14" s="130"/>
      <c r="U14" s="131"/>
      <c r="V14" s="129"/>
      <c r="W14" s="130"/>
      <c r="X14" s="130"/>
      <c r="Y14" s="130"/>
      <c r="Z14" s="130"/>
      <c r="AA14" s="130"/>
      <c r="AB14" s="131"/>
      <c r="AC14" s="129"/>
      <c r="AD14" s="130"/>
      <c r="AE14" s="130"/>
      <c r="AF14" s="130"/>
      <c r="AG14" s="130"/>
      <c r="AH14" s="131"/>
      <c r="AI14" s="129"/>
      <c r="AJ14" s="130"/>
      <c r="AK14" s="130"/>
      <c r="AL14" s="130"/>
      <c r="AM14" s="130"/>
      <c r="AN14" s="130"/>
      <c r="AO14" s="131"/>
      <c r="AP14" s="129"/>
      <c r="AQ14" s="130"/>
      <c r="AR14" s="130"/>
      <c r="AS14" s="131"/>
      <c r="AT14" s="129"/>
      <c r="AU14" s="130"/>
      <c r="AV14" s="130"/>
      <c r="AW14" s="130"/>
      <c r="AX14" s="130"/>
      <c r="AY14" s="131"/>
      <c r="AZ14" s="129"/>
      <c r="BA14" s="130"/>
      <c r="BB14" s="130"/>
      <c r="BC14" s="130"/>
      <c r="BD14" s="130"/>
      <c r="BE14" s="130"/>
      <c r="BF14" s="131"/>
      <c r="BG14" s="129"/>
      <c r="BH14" s="130"/>
      <c r="BI14" s="130"/>
      <c r="BJ14" s="130"/>
      <c r="BK14" s="131"/>
      <c r="BL14" s="129"/>
      <c r="BM14" s="130"/>
      <c r="BN14" s="130"/>
      <c r="BO14" s="130"/>
      <c r="BP14" s="130"/>
      <c r="BQ14" s="130"/>
      <c r="BR14" s="130"/>
      <c r="BS14" s="131"/>
      <c r="BT14" s="132"/>
      <c r="BU14" s="132"/>
      <c r="BV14" s="132"/>
      <c r="BW14" s="132"/>
      <c r="BX14" s="132"/>
      <c r="BY14" s="129"/>
      <c r="BZ14" s="130"/>
      <c r="CA14" s="130"/>
      <c r="CB14" s="130"/>
      <c r="CC14" s="130"/>
      <c r="CD14" s="131"/>
      <c r="CE14" s="132"/>
      <c r="CF14" s="132"/>
      <c r="CG14" s="132"/>
      <c r="CH14" s="132"/>
      <c r="CI14" s="132"/>
      <c r="CJ14" s="129"/>
      <c r="CK14" s="130"/>
      <c r="CL14" s="131"/>
      <c r="CM14" s="132"/>
      <c r="CN14" s="132"/>
      <c r="CO14" s="132"/>
      <c r="CP14" s="129"/>
      <c r="CQ14" s="130"/>
      <c r="CR14" s="130"/>
      <c r="CS14" s="130"/>
      <c r="CT14" s="131"/>
      <c r="CU14" s="129"/>
      <c r="CV14" s="130"/>
      <c r="CW14" s="130"/>
      <c r="CX14" s="130"/>
      <c r="CY14" s="130"/>
      <c r="CZ14" s="131"/>
      <c r="DA14" s="129"/>
      <c r="DB14" s="130"/>
      <c r="DC14" s="130"/>
      <c r="DD14" s="130"/>
      <c r="DE14" s="131"/>
      <c r="DF14" s="129"/>
      <c r="DG14" s="130"/>
      <c r="DH14" s="130"/>
      <c r="DI14" s="130"/>
      <c r="DJ14" s="130"/>
      <c r="DK14" s="131"/>
      <c r="DL14" s="129"/>
      <c r="DM14" s="130"/>
      <c r="DN14" s="130"/>
      <c r="DO14" s="130"/>
      <c r="DP14" s="130"/>
      <c r="DQ14" s="131"/>
      <c r="DR14" s="129"/>
      <c r="DS14" s="130"/>
      <c r="DT14" s="130"/>
      <c r="DU14" s="130"/>
      <c r="DV14" s="130"/>
      <c r="DW14" s="131"/>
      <c r="DX14" s="129"/>
      <c r="DY14" s="130"/>
      <c r="DZ14" s="130"/>
      <c r="EA14" s="130"/>
      <c r="EB14" s="130"/>
      <c r="EC14" s="131"/>
      <c r="ED14" s="129"/>
      <c r="EE14" s="130"/>
      <c r="EF14" s="130"/>
      <c r="EG14" s="130"/>
      <c r="EH14" s="130"/>
      <c r="EI14" s="130"/>
      <c r="EJ14" s="129"/>
      <c r="EK14" s="130"/>
      <c r="EL14" s="130"/>
      <c r="EM14" s="130"/>
      <c r="EN14" s="130"/>
      <c r="EO14" s="130"/>
      <c r="EP14" s="130"/>
      <c r="EQ14" s="130"/>
      <c r="ER14" s="130"/>
      <c r="ES14" s="130"/>
      <c r="ET14" s="130"/>
      <c r="EU14" s="130"/>
      <c r="EV14" s="130"/>
      <c r="EW14" s="130"/>
      <c r="EX14" s="130"/>
      <c r="EY14" s="130"/>
      <c r="EZ14" s="133" t="s">
        <v>217</v>
      </c>
      <c r="FA14" s="132"/>
      <c r="FB14" s="132"/>
      <c r="FC14" s="132"/>
      <c r="FD14" s="132"/>
      <c r="FE14" s="132" t="s">
        <v>217</v>
      </c>
      <c r="FF14" s="129"/>
      <c r="FG14" s="130"/>
      <c r="FH14" s="130"/>
      <c r="FI14" s="130"/>
      <c r="FJ14" s="129" t="s">
        <v>217</v>
      </c>
      <c r="FK14" s="130"/>
      <c r="FL14" s="131"/>
      <c r="FM14" s="129" t="s">
        <v>217</v>
      </c>
      <c r="FR14" s="129" t="s">
        <v>217</v>
      </c>
    </row>
    <row r="15" spans="1:457">
      <c r="A15" s="95" t="s">
        <v>214</v>
      </c>
      <c r="B15" s="96" t="s">
        <v>218</v>
      </c>
      <c r="C15" s="95">
        <v>0</v>
      </c>
      <c r="D15" s="95">
        <f>COUNTA(E15:KX15)</f>
        <v>1</v>
      </c>
      <c r="E15" s="129"/>
      <c r="F15" s="130"/>
      <c r="G15" s="130"/>
      <c r="H15" s="130"/>
      <c r="I15" s="130"/>
      <c r="J15" s="130"/>
      <c r="K15" s="131"/>
      <c r="L15" s="129"/>
      <c r="M15" s="130"/>
      <c r="N15" s="130"/>
      <c r="O15" s="131"/>
      <c r="P15" s="129"/>
      <c r="Q15" s="130"/>
      <c r="R15" s="130"/>
      <c r="S15" s="130"/>
      <c r="T15" s="130"/>
      <c r="U15" s="131"/>
      <c r="V15" s="129"/>
      <c r="W15" s="130"/>
      <c r="X15" s="130"/>
      <c r="Y15" s="130"/>
      <c r="Z15" s="130"/>
      <c r="AA15" s="130"/>
      <c r="AB15" s="131"/>
      <c r="AC15" s="129"/>
      <c r="AD15" s="130"/>
      <c r="AE15" s="130"/>
      <c r="AF15" s="130"/>
      <c r="AG15" s="130"/>
      <c r="AH15" s="131"/>
      <c r="AI15" s="129"/>
      <c r="AJ15" s="130"/>
      <c r="AK15" s="130"/>
      <c r="AL15" s="130"/>
      <c r="AM15" s="130"/>
      <c r="AN15" s="130"/>
      <c r="AO15" s="131"/>
      <c r="AP15" s="129"/>
      <c r="AQ15" s="130"/>
      <c r="AR15" s="130"/>
      <c r="AS15" s="131"/>
      <c r="AT15" s="129"/>
      <c r="AU15" s="130"/>
      <c r="AV15" s="130"/>
      <c r="AW15" s="130"/>
      <c r="AX15" s="130"/>
      <c r="AY15" s="131"/>
      <c r="AZ15" s="129"/>
      <c r="BA15" s="130"/>
      <c r="BB15" s="130"/>
      <c r="BC15" s="130"/>
      <c r="BD15" s="130"/>
      <c r="BE15" s="130"/>
      <c r="BF15" s="131"/>
      <c r="BG15" s="129"/>
      <c r="BH15" s="130"/>
      <c r="BI15" s="130"/>
      <c r="BJ15" s="130"/>
      <c r="BK15" s="131"/>
      <c r="BL15" s="129"/>
      <c r="BM15" s="130"/>
      <c r="BN15" s="130"/>
      <c r="BO15" s="130"/>
      <c r="BP15" s="130"/>
      <c r="BQ15" s="130"/>
      <c r="BR15" s="130"/>
      <c r="BS15" s="131"/>
      <c r="BT15" s="132"/>
      <c r="BU15" s="132"/>
      <c r="BV15" s="132"/>
      <c r="BW15" s="132"/>
      <c r="BX15" s="132"/>
      <c r="BY15" s="129"/>
      <c r="BZ15" s="130"/>
      <c r="CA15" s="130"/>
      <c r="CB15" s="130"/>
      <c r="CC15" s="130"/>
      <c r="CD15" s="131"/>
      <c r="CE15" s="132"/>
      <c r="CF15" s="132"/>
      <c r="CG15" s="132"/>
      <c r="CH15" s="132"/>
      <c r="CI15" s="132"/>
      <c r="CJ15" s="129"/>
      <c r="CK15" s="130"/>
      <c r="CL15" s="131"/>
      <c r="CM15" s="132"/>
      <c r="CN15" s="132"/>
      <c r="CO15" s="132"/>
      <c r="CP15" s="129"/>
      <c r="CQ15" s="130"/>
      <c r="CR15" s="130"/>
      <c r="CS15" s="130"/>
      <c r="CT15" s="131"/>
      <c r="CU15" s="129"/>
      <c r="CV15" s="130"/>
      <c r="CW15" s="130"/>
      <c r="CX15" s="130"/>
      <c r="CY15" s="130"/>
      <c r="CZ15" s="131"/>
      <c r="DA15" s="129"/>
      <c r="DB15" s="130"/>
      <c r="DC15" s="130"/>
      <c r="DD15" s="130"/>
      <c r="DE15" s="131"/>
      <c r="DF15" s="129"/>
      <c r="DG15" s="130"/>
      <c r="DH15" s="130"/>
      <c r="DI15" s="130"/>
      <c r="DJ15" s="130"/>
      <c r="DK15" s="131"/>
      <c r="DL15" s="129"/>
      <c r="DM15" s="130"/>
      <c r="DN15" s="130"/>
      <c r="DO15" s="130"/>
      <c r="DP15" s="130"/>
      <c r="DQ15" s="131"/>
      <c r="DR15" s="129"/>
      <c r="DS15" s="130"/>
      <c r="DT15" s="130"/>
      <c r="DU15" s="130"/>
      <c r="DV15" s="130"/>
      <c r="DW15" s="131"/>
      <c r="DX15" s="129"/>
      <c r="DY15" s="130"/>
      <c r="DZ15" s="130"/>
      <c r="EA15" s="130"/>
      <c r="EB15" s="130"/>
      <c r="EC15" s="131"/>
      <c r="ED15" s="129"/>
      <c r="EE15" s="130"/>
      <c r="EF15" s="130"/>
      <c r="EG15" s="130"/>
      <c r="EH15" s="130"/>
      <c r="EI15" s="130"/>
      <c r="EJ15" s="129"/>
      <c r="EK15" s="130"/>
      <c r="EL15" s="130"/>
      <c r="EM15" s="130"/>
      <c r="EN15" s="130"/>
      <c r="EO15" s="130"/>
      <c r="EP15" s="130"/>
      <c r="EQ15" s="130"/>
      <c r="ER15" s="130"/>
      <c r="ES15" s="130"/>
      <c r="ET15" s="130"/>
      <c r="EU15" s="130"/>
      <c r="EV15" s="130"/>
      <c r="EW15" s="130"/>
      <c r="EX15" s="130"/>
      <c r="EY15" s="130"/>
      <c r="EZ15" s="133"/>
      <c r="FA15" s="132"/>
      <c r="FB15" s="132"/>
      <c r="FC15" s="132"/>
      <c r="FD15" s="132"/>
      <c r="FE15" s="132"/>
      <c r="FF15" s="129"/>
      <c r="FG15" s="130"/>
      <c r="FH15" s="130"/>
      <c r="FI15" s="130"/>
      <c r="FJ15" s="129"/>
      <c r="FK15" s="130"/>
      <c r="FL15" s="131"/>
      <c r="FM15" s="129"/>
      <c r="GC15" s="97" t="s">
        <v>149</v>
      </c>
    </row>
    <row r="16" spans="1:457">
      <c r="A16" s="95" t="s">
        <v>214</v>
      </c>
      <c r="B16" s="96" t="s">
        <v>219</v>
      </c>
      <c r="C16" s="95">
        <v>1</v>
      </c>
      <c r="D16" s="95">
        <f>COUNTA(E16:KX16)</f>
        <v>4</v>
      </c>
      <c r="E16" s="129"/>
      <c r="F16" s="130"/>
      <c r="G16" s="130"/>
      <c r="H16" s="130"/>
      <c r="I16" s="130"/>
      <c r="J16" s="130"/>
      <c r="K16" s="131"/>
      <c r="L16" s="129"/>
      <c r="M16" s="130"/>
      <c r="N16" s="130"/>
      <c r="O16" s="131"/>
      <c r="P16" s="129"/>
      <c r="Q16" s="130"/>
      <c r="R16" s="130"/>
      <c r="S16" s="130"/>
      <c r="T16" s="130"/>
      <c r="U16" s="131"/>
      <c r="V16" s="129"/>
      <c r="W16" s="130"/>
      <c r="X16" s="130"/>
      <c r="Y16" s="130"/>
      <c r="Z16" s="130"/>
      <c r="AA16" s="130"/>
      <c r="AB16" s="131"/>
      <c r="AC16" s="129"/>
      <c r="AD16" s="130"/>
      <c r="AE16" s="130"/>
      <c r="AF16" s="130"/>
      <c r="AG16" s="130"/>
      <c r="AH16" s="131"/>
      <c r="AI16" s="129"/>
      <c r="AJ16" s="130"/>
      <c r="AK16" s="130"/>
      <c r="AL16" s="130"/>
      <c r="AM16" s="130"/>
      <c r="AN16" s="130"/>
      <c r="AO16" s="131"/>
      <c r="AP16" s="129"/>
      <c r="AQ16" s="130"/>
      <c r="AR16" s="130"/>
      <c r="AS16" s="131"/>
      <c r="AT16" s="129"/>
      <c r="AU16" s="130"/>
      <c r="AV16" s="130"/>
      <c r="AW16" s="130"/>
      <c r="AX16" s="130"/>
      <c r="AY16" s="131"/>
      <c r="AZ16" s="129"/>
      <c r="BA16" s="130"/>
      <c r="BB16" s="130"/>
      <c r="BC16" s="130"/>
      <c r="BD16" s="130"/>
      <c r="BE16" s="130"/>
      <c r="BF16" s="131"/>
      <c r="BG16" s="129"/>
      <c r="BH16" s="130"/>
      <c r="BI16" s="130"/>
      <c r="BJ16" s="130"/>
      <c r="BK16" s="131"/>
      <c r="BL16" s="129"/>
      <c r="BM16" s="130"/>
      <c r="BN16" s="130"/>
      <c r="BO16" s="130"/>
      <c r="BP16" s="130"/>
      <c r="BQ16" s="130"/>
      <c r="BR16" s="130"/>
      <c r="BS16" s="131"/>
      <c r="BT16" s="132"/>
      <c r="BU16" s="132"/>
      <c r="BV16" s="132"/>
      <c r="BW16" s="132"/>
      <c r="BX16" s="132"/>
      <c r="BY16" s="129"/>
      <c r="BZ16" s="130"/>
      <c r="CA16" s="130"/>
      <c r="CB16" s="130"/>
      <c r="CC16" s="130"/>
      <c r="CD16" s="131"/>
      <c r="CE16" s="132"/>
      <c r="CF16" s="132"/>
      <c r="CG16" s="132"/>
      <c r="CH16" s="132"/>
      <c r="CI16" s="132"/>
      <c r="CJ16" s="129"/>
      <c r="CK16" s="130"/>
      <c r="CL16" s="131"/>
      <c r="CM16" s="132"/>
      <c r="CN16" s="132"/>
      <c r="CO16" s="132"/>
      <c r="CP16" s="129"/>
      <c r="CQ16" s="130"/>
      <c r="CR16" s="130"/>
      <c r="CS16" s="130"/>
      <c r="CT16" s="131"/>
      <c r="CU16" s="129"/>
      <c r="CV16" s="130"/>
      <c r="CW16" s="130"/>
      <c r="CX16" s="130"/>
      <c r="CY16" s="130"/>
      <c r="CZ16" s="131"/>
      <c r="DA16" s="129"/>
      <c r="DB16" s="130"/>
      <c r="DC16" s="130"/>
      <c r="DD16" s="130"/>
      <c r="DE16" s="131"/>
      <c r="DF16" s="129"/>
      <c r="DG16" s="130"/>
      <c r="DH16" s="130"/>
      <c r="DI16" s="130"/>
      <c r="DJ16" s="130"/>
      <c r="DK16" s="131"/>
      <c r="DL16" s="129"/>
      <c r="DM16" s="130"/>
      <c r="DN16" s="130"/>
      <c r="DO16" s="130"/>
      <c r="DP16" s="130"/>
      <c r="DQ16" s="131"/>
      <c r="DR16" s="129"/>
      <c r="DS16" s="130"/>
      <c r="DT16" s="130"/>
      <c r="DU16" s="130"/>
      <c r="DV16" s="130"/>
      <c r="DW16" s="131"/>
      <c r="DX16" s="129"/>
      <c r="DY16" s="130"/>
      <c r="DZ16" s="130"/>
      <c r="EA16" s="130"/>
      <c r="EB16" s="130"/>
      <c r="EC16" s="131"/>
      <c r="ED16" s="129"/>
      <c r="EE16" s="130"/>
      <c r="EF16" s="130"/>
      <c r="EG16" s="130"/>
      <c r="EH16" s="130"/>
      <c r="EI16" s="130"/>
      <c r="EJ16" s="129"/>
      <c r="EK16" s="130"/>
      <c r="EL16" s="130"/>
      <c r="EM16" s="130"/>
      <c r="EN16" s="130"/>
      <c r="EO16" s="130"/>
      <c r="EP16" s="130"/>
      <c r="EQ16" s="130"/>
      <c r="ER16" s="130"/>
      <c r="ES16" s="130"/>
      <c r="ET16" s="130"/>
      <c r="EU16" s="130"/>
      <c r="EV16" s="130"/>
      <c r="EW16" s="130"/>
      <c r="EX16" s="130"/>
      <c r="EY16" s="130"/>
      <c r="EZ16" s="133"/>
      <c r="FA16" s="132" t="s">
        <v>149</v>
      </c>
      <c r="FB16" s="132"/>
      <c r="FC16" s="132"/>
      <c r="FD16" s="132"/>
      <c r="FE16" s="132"/>
      <c r="FF16" s="129"/>
      <c r="FG16" s="130"/>
      <c r="FH16" s="130"/>
      <c r="FI16" s="130"/>
      <c r="FJ16" s="129"/>
      <c r="FK16" s="130"/>
      <c r="FL16" s="131" t="s">
        <v>217</v>
      </c>
      <c r="FM16" s="129"/>
      <c r="FO16" s="97" t="s">
        <v>217</v>
      </c>
      <c r="FR16" s="129"/>
      <c r="FV16" s="98" t="s">
        <v>149</v>
      </c>
    </row>
    <row r="17" spans="1:212">
      <c r="A17" s="95" t="s">
        <v>214</v>
      </c>
      <c r="B17" s="96" t="s">
        <v>220</v>
      </c>
      <c r="C17" s="95">
        <v>1</v>
      </c>
      <c r="D17" s="95">
        <f>COUNTA(E17:KX17)</f>
        <v>1</v>
      </c>
      <c r="E17" s="129"/>
      <c r="F17" s="130"/>
      <c r="G17" s="130"/>
      <c r="H17" s="130"/>
      <c r="I17" s="130"/>
      <c r="J17" s="130"/>
      <c r="K17" s="131"/>
      <c r="L17" s="129"/>
      <c r="M17" s="130"/>
      <c r="N17" s="130"/>
      <c r="O17" s="131"/>
      <c r="P17" s="129"/>
      <c r="Q17" s="130"/>
      <c r="R17" s="130"/>
      <c r="S17" s="130"/>
      <c r="T17" s="130"/>
      <c r="U17" s="131"/>
      <c r="V17" s="129"/>
      <c r="W17" s="130"/>
      <c r="X17" s="130"/>
      <c r="Y17" s="130"/>
      <c r="Z17" s="130"/>
      <c r="AA17" s="130"/>
      <c r="AB17" s="131"/>
      <c r="AC17" s="129"/>
      <c r="AD17" s="130"/>
      <c r="AE17" s="130"/>
      <c r="AF17" s="130"/>
      <c r="AG17" s="130"/>
      <c r="AH17" s="131"/>
      <c r="AI17" s="129"/>
      <c r="AJ17" s="130"/>
      <c r="AK17" s="130"/>
      <c r="AL17" s="130"/>
      <c r="AM17" s="130"/>
      <c r="AN17" s="130"/>
      <c r="AO17" s="131"/>
      <c r="AP17" s="129"/>
      <c r="AQ17" s="130"/>
      <c r="AR17" s="130"/>
      <c r="AS17" s="131"/>
      <c r="AT17" s="129"/>
      <c r="AU17" s="130"/>
      <c r="AV17" s="130"/>
      <c r="AW17" s="130"/>
      <c r="AX17" s="130"/>
      <c r="AY17" s="131"/>
      <c r="AZ17" s="129"/>
      <c r="BA17" s="130"/>
      <c r="BB17" s="130"/>
      <c r="BC17" s="130"/>
      <c r="BD17" s="130"/>
      <c r="BE17" s="130"/>
      <c r="BF17" s="131"/>
      <c r="BG17" s="129"/>
      <c r="BH17" s="130"/>
      <c r="BI17" s="130"/>
      <c r="BJ17" s="130"/>
      <c r="BK17" s="131"/>
      <c r="BL17" s="129"/>
      <c r="BM17" s="130"/>
      <c r="BN17" s="130"/>
      <c r="BO17" s="130"/>
      <c r="BP17" s="130"/>
      <c r="BQ17" s="130"/>
      <c r="BR17" s="130"/>
      <c r="BS17" s="131"/>
      <c r="BT17" s="132"/>
      <c r="BU17" s="132"/>
      <c r="BV17" s="132"/>
      <c r="BW17" s="132"/>
      <c r="BX17" s="132"/>
      <c r="BY17" s="129"/>
      <c r="BZ17" s="130"/>
      <c r="CA17" s="130"/>
      <c r="CB17" s="130"/>
      <c r="CC17" s="130"/>
      <c r="CD17" s="131"/>
      <c r="CE17" s="132"/>
      <c r="CF17" s="132"/>
      <c r="CG17" s="132"/>
      <c r="CH17" s="132"/>
      <c r="CI17" s="132"/>
      <c r="CJ17" s="129"/>
      <c r="CK17" s="130"/>
      <c r="CL17" s="131"/>
      <c r="CM17" s="132"/>
      <c r="CN17" s="132"/>
      <c r="CO17" s="132"/>
      <c r="CP17" s="129"/>
      <c r="CQ17" s="130"/>
      <c r="CR17" s="130"/>
      <c r="CS17" s="130"/>
      <c r="CT17" s="131"/>
      <c r="CU17" s="129"/>
      <c r="CV17" s="130"/>
      <c r="CW17" s="130"/>
      <c r="CX17" s="130"/>
      <c r="CY17" s="130"/>
      <c r="CZ17" s="131"/>
      <c r="DA17" s="129"/>
      <c r="DB17" s="130"/>
      <c r="DC17" s="130"/>
      <c r="DD17" s="130"/>
      <c r="DE17" s="131"/>
      <c r="DF17" s="129"/>
      <c r="DG17" s="130"/>
      <c r="DH17" s="130"/>
      <c r="DI17" s="130"/>
      <c r="DJ17" s="130"/>
      <c r="DK17" s="131"/>
      <c r="DL17" s="129"/>
      <c r="DM17" s="130"/>
      <c r="DN17" s="130"/>
      <c r="DO17" s="130"/>
      <c r="DP17" s="130"/>
      <c r="DQ17" s="131"/>
      <c r="DR17" s="129"/>
      <c r="DS17" s="130"/>
      <c r="DT17" s="130"/>
      <c r="DU17" s="130"/>
      <c r="DV17" s="130"/>
      <c r="DW17" s="131"/>
      <c r="DX17" s="129"/>
      <c r="DY17" s="130"/>
      <c r="DZ17" s="130"/>
      <c r="EA17" s="130"/>
      <c r="EB17" s="130"/>
      <c r="EC17" s="131"/>
      <c r="ED17" s="129"/>
      <c r="EE17" s="130"/>
      <c r="EF17" s="130"/>
      <c r="EG17" s="130"/>
      <c r="EH17" s="130"/>
      <c r="EI17" s="130"/>
      <c r="EJ17" s="129"/>
      <c r="EK17" s="130"/>
      <c r="EL17" s="130"/>
      <c r="EM17" s="130"/>
      <c r="EN17" s="130"/>
      <c r="EO17" s="130"/>
      <c r="EP17" s="130"/>
      <c r="EQ17" s="130"/>
      <c r="ER17" s="130"/>
      <c r="ES17" s="130"/>
      <c r="ET17" s="130"/>
      <c r="EU17" s="130"/>
      <c r="EV17" s="130"/>
      <c r="EW17" s="130"/>
      <c r="EX17" s="130"/>
      <c r="EY17" s="130"/>
      <c r="EZ17" s="133"/>
      <c r="FA17" s="132"/>
      <c r="FB17" s="132"/>
      <c r="FC17" s="132"/>
      <c r="FD17" s="132"/>
      <c r="FE17" s="132"/>
      <c r="FF17" s="129"/>
      <c r="FG17" s="130"/>
      <c r="FH17" s="130"/>
      <c r="FI17" s="130"/>
      <c r="FJ17" s="129"/>
      <c r="FK17" s="130"/>
      <c r="FL17" s="131"/>
      <c r="FM17" s="129"/>
      <c r="FP17" s="97" t="s">
        <v>217</v>
      </c>
    </row>
    <row r="18" spans="1:212">
      <c r="A18" s="95" t="s">
        <v>214</v>
      </c>
      <c r="B18" s="96" t="s">
        <v>221</v>
      </c>
      <c r="C18" s="95">
        <v>1</v>
      </c>
      <c r="D18" s="95">
        <f>COUNTA(E18:KX18)</f>
        <v>1</v>
      </c>
      <c r="E18" s="129"/>
      <c r="F18" s="130"/>
      <c r="G18" s="130"/>
      <c r="H18" s="130"/>
      <c r="I18" s="130"/>
      <c r="J18" s="130"/>
      <c r="K18" s="131"/>
      <c r="L18" s="129"/>
      <c r="M18" s="130"/>
      <c r="N18" s="130"/>
      <c r="O18" s="131"/>
      <c r="P18" s="129"/>
      <c r="Q18" s="130"/>
      <c r="R18" s="130"/>
      <c r="S18" s="130"/>
      <c r="T18" s="130"/>
      <c r="U18" s="131"/>
      <c r="V18" s="129"/>
      <c r="W18" s="130"/>
      <c r="X18" s="130"/>
      <c r="Y18" s="130"/>
      <c r="Z18" s="130"/>
      <c r="AA18" s="130"/>
      <c r="AB18" s="131"/>
      <c r="AC18" s="129"/>
      <c r="AD18" s="130"/>
      <c r="AE18" s="130"/>
      <c r="AF18" s="130"/>
      <c r="AG18" s="130"/>
      <c r="AH18" s="131"/>
      <c r="AI18" s="129"/>
      <c r="AJ18" s="130"/>
      <c r="AK18" s="130"/>
      <c r="AL18" s="130"/>
      <c r="AM18" s="130"/>
      <c r="AN18" s="130"/>
      <c r="AO18" s="131"/>
      <c r="AP18" s="129"/>
      <c r="AQ18" s="130"/>
      <c r="AR18" s="130"/>
      <c r="AS18" s="131"/>
      <c r="AT18" s="129"/>
      <c r="AU18" s="130"/>
      <c r="AV18" s="130"/>
      <c r="AW18" s="130"/>
      <c r="AX18" s="130"/>
      <c r="AY18" s="131"/>
      <c r="AZ18" s="129"/>
      <c r="BA18" s="130"/>
      <c r="BB18" s="130"/>
      <c r="BC18" s="130"/>
      <c r="BD18" s="130"/>
      <c r="BE18" s="130"/>
      <c r="BF18" s="131"/>
      <c r="BG18" s="129"/>
      <c r="BH18" s="130"/>
      <c r="BI18" s="130"/>
      <c r="BJ18" s="130"/>
      <c r="BK18" s="131"/>
      <c r="BL18" s="129"/>
      <c r="BM18" s="130"/>
      <c r="BN18" s="130"/>
      <c r="BO18" s="130"/>
      <c r="BP18" s="130"/>
      <c r="BQ18" s="130"/>
      <c r="BR18" s="130"/>
      <c r="BS18" s="131"/>
      <c r="BT18" s="132"/>
      <c r="BU18" s="132"/>
      <c r="BV18" s="132"/>
      <c r="BW18" s="132"/>
      <c r="BX18" s="132"/>
      <c r="BY18" s="129"/>
      <c r="BZ18" s="130"/>
      <c r="CA18" s="130"/>
      <c r="CB18" s="130"/>
      <c r="CC18" s="130"/>
      <c r="CD18" s="131"/>
      <c r="CE18" s="132"/>
      <c r="CF18" s="132"/>
      <c r="CG18" s="132"/>
      <c r="CH18" s="132"/>
      <c r="CI18" s="132"/>
      <c r="CJ18" s="129"/>
      <c r="CK18" s="130"/>
      <c r="CL18" s="131"/>
      <c r="CM18" s="132"/>
      <c r="CN18" s="132"/>
      <c r="CO18" s="132"/>
      <c r="CP18" s="129"/>
      <c r="CQ18" s="130"/>
      <c r="CR18" s="130"/>
      <c r="CS18" s="130"/>
      <c r="CT18" s="131"/>
      <c r="CU18" s="129"/>
      <c r="CV18" s="130"/>
      <c r="CW18" s="130"/>
      <c r="CX18" s="130"/>
      <c r="CY18" s="130"/>
      <c r="CZ18" s="131"/>
      <c r="DA18" s="129"/>
      <c r="DB18" s="130"/>
      <c r="DC18" s="130"/>
      <c r="DD18" s="130"/>
      <c r="DE18" s="131"/>
      <c r="DF18" s="129"/>
      <c r="DG18" s="130"/>
      <c r="DH18" s="130"/>
      <c r="DI18" s="130"/>
      <c r="DJ18" s="130"/>
      <c r="DK18" s="131"/>
      <c r="DL18" s="129"/>
      <c r="DM18" s="130"/>
      <c r="DN18" s="130"/>
      <c r="DO18" s="130"/>
      <c r="DP18" s="130"/>
      <c r="DQ18" s="131"/>
      <c r="DR18" s="129"/>
      <c r="DS18" s="130"/>
      <c r="DT18" s="130"/>
      <c r="DU18" s="130"/>
      <c r="DV18" s="130"/>
      <c r="DW18" s="131"/>
      <c r="DX18" s="129"/>
      <c r="DY18" s="130"/>
      <c r="DZ18" s="130"/>
      <c r="EA18" s="130"/>
      <c r="EB18" s="130"/>
      <c r="EC18" s="131"/>
      <c r="ED18" s="129"/>
      <c r="EE18" s="130"/>
      <c r="EF18" s="130"/>
      <c r="EG18" s="130"/>
      <c r="EH18" s="130"/>
      <c r="EI18" s="130"/>
      <c r="EJ18" s="129"/>
      <c r="EK18" s="130"/>
      <c r="EL18" s="130"/>
      <c r="EM18" s="130"/>
      <c r="EN18" s="130"/>
      <c r="EO18" s="130"/>
      <c r="EP18" s="130"/>
      <c r="EQ18" s="130"/>
      <c r="ER18" s="130"/>
      <c r="ES18" s="130"/>
      <c r="ET18" s="130"/>
      <c r="EU18" s="130"/>
      <c r="EV18" s="130"/>
      <c r="EW18" s="130"/>
      <c r="EX18" s="130"/>
      <c r="EY18" s="130"/>
      <c r="EZ18" s="133"/>
      <c r="FA18" s="132"/>
      <c r="FB18" s="132"/>
      <c r="FC18" s="132"/>
      <c r="FD18" s="132"/>
      <c r="FE18" s="132"/>
      <c r="FF18" s="129"/>
      <c r="FG18" s="130"/>
      <c r="FH18" s="130"/>
      <c r="FI18" s="130" t="s">
        <v>149</v>
      </c>
      <c r="FJ18" s="129"/>
      <c r="FK18" s="130"/>
      <c r="FL18" s="131"/>
      <c r="FM18" s="129"/>
      <c r="FR18" s="129"/>
    </row>
    <row r="19" spans="1:212">
      <c r="A19" s="95" t="s">
        <v>214</v>
      </c>
      <c r="B19" s="96" t="s">
        <v>222</v>
      </c>
      <c r="C19" s="95">
        <v>1</v>
      </c>
      <c r="D19" s="95">
        <f>COUNTA(E19:KX19)</f>
        <v>1</v>
      </c>
      <c r="E19" s="129"/>
      <c r="F19" s="130"/>
      <c r="G19" s="130"/>
      <c r="H19" s="130"/>
      <c r="I19" s="130"/>
      <c r="J19" s="130"/>
      <c r="K19" s="131"/>
      <c r="L19" s="129"/>
      <c r="M19" s="130"/>
      <c r="N19" s="130"/>
      <c r="O19" s="131"/>
      <c r="P19" s="129"/>
      <c r="Q19" s="130"/>
      <c r="R19" s="130"/>
      <c r="S19" s="130"/>
      <c r="T19" s="130"/>
      <c r="U19" s="131"/>
      <c r="V19" s="129"/>
      <c r="W19" s="130"/>
      <c r="X19" s="130"/>
      <c r="Y19" s="130"/>
      <c r="Z19" s="130"/>
      <c r="AA19" s="130"/>
      <c r="AB19" s="131"/>
      <c r="AC19" s="129"/>
      <c r="AD19" s="130"/>
      <c r="AE19" s="130"/>
      <c r="AF19" s="130"/>
      <c r="AG19" s="130"/>
      <c r="AH19" s="131"/>
      <c r="AI19" s="129"/>
      <c r="AJ19" s="130"/>
      <c r="AK19" s="130"/>
      <c r="AL19" s="130"/>
      <c r="AM19" s="130"/>
      <c r="AN19" s="130"/>
      <c r="AO19" s="131"/>
      <c r="AP19" s="129"/>
      <c r="AQ19" s="130"/>
      <c r="AR19" s="130"/>
      <c r="AS19" s="131"/>
      <c r="AT19" s="129"/>
      <c r="AU19" s="130"/>
      <c r="AV19" s="130"/>
      <c r="AW19" s="130"/>
      <c r="AX19" s="130"/>
      <c r="AY19" s="131"/>
      <c r="AZ19" s="129"/>
      <c r="BA19" s="130"/>
      <c r="BB19" s="130"/>
      <c r="BC19" s="130"/>
      <c r="BD19" s="130"/>
      <c r="BE19" s="130"/>
      <c r="BF19" s="131"/>
      <c r="BG19" s="129"/>
      <c r="BH19" s="130"/>
      <c r="BI19" s="130"/>
      <c r="BJ19" s="130"/>
      <c r="BK19" s="131"/>
      <c r="BL19" s="129"/>
      <c r="BM19" s="130"/>
      <c r="BN19" s="130"/>
      <c r="BO19" s="130"/>
      <c r="BP19" s="130"/>
      <c r="BQ19" s="130"/>
      <c r="BR19" s="130"/>
      <c r="BS19" s="131"/>
      <c r="BT19" s="132"/>
      <c r="BU19" s="132"/>
      <c r="BV19" s="132"/>
      <c r="BW19" s="132"/>
      <c r="BX19" s="132"/>
      <c r="BY19" s="129"/>
      <c r="BZ19" s="130"/>
      <c r="CA19" s="130"/>
      <c r="CB19" s="130"/>
      <c r="CC19" s="130"/>
      <c r="CD19" s="131"/>
      <c r="CE19" s="132"/>
      <c r="CF19" s="132"/>
      <c r="CG19" s="132"/>
      <c r="CH19" s="132"/>
      <c r="CI19" s="132"/>
      <c r="CJ19" s="129"/>
      <c r="CK19" s="130"/>
      <c r="CL19" s="131"/>
      <c r="CM19" s="132"/>
      <c r="CN19" s="132"/>
      <c r="CO19" s="132"/>
      <c r="CP19" s="129"/>
      <c r="CQ19" s="130"/>
      <c r="CR19" s="130"/>
      <c r="CS19" s="130"/>
      <c r="CT19" s="131"/>
      <c r="CU19" s="129"/>
      <c r="CV19" s="130"/>
      <c r="CW19" s="130"/>
      <c r="CX19" s="130"/>
      <c r="CY19" s="130"/>
      <c r="CZ19" s="131"/>
      <c r="DA19" s="129"/>
      <c r="DB19" s="130"/>
      <c r="DC19" s="130"/>
      <c r="DD19" s="130"/>
      <c r="DE19" s="131"/>
      <c r="DF19" s="129"/>
      <c r="DG19" s="130"/>
      <c r="DH19" s="130"/>
      <c r="DI19" s="130"/>
      <c r="DJ19" s="130"/>
      <c r="DK19" s="131"/>
      <c r="DL19" s="129"/>
      <c r="DM19" s="130"/>
      <c r="DN19" s="130"/>
      <c r="DO19" s="130"/>
      <c r="DP19" s="130"/>
      <c r="DQ19" s="131"/>
      <c r="DR19" s="129"/>
      <c r="DS19" s="130"/>
      <c r="DT19" s="130"/>
      <c r="DU19" s="130"/>
      <c r="DV19" s="130"/>
      <c r="DW19" s="131"/>
      <c r="DX19" s="129"/>
      <c r="DY19" s="130"/>
      <c r="DZ19" s="130"/>
      <c r="EA19" s="130"/>
      <c r="EB19" s="130"/>
      <c r="EC19" s="131"/>
      <c r="ED19" s="129"/>
      <c r="EE19" s="130"/>
      <c r="EF19" s="130"/>
      <c r="EG19" s="130"/>
      <c r="EH19" s="130"/>
      <c r="EI19" s="130"/>
      <c r="EJ19" s="129"/>
      <c r="EK19" s="130"/>
      <c r="EL19" s="130"/>
      <c r="EM19" s="130"/>
      <c r="EN19" s="130"/>
      <c r="EO19" s="130"/>
      <c r="EP19" s="130"/>
      <c r="EQ19" s="130"/>
      <c r="ER19" s="130"/>
      <c r="ES19" s="130"/>
      <c r="ET19" s="130"/>
      <c r="EU19" s="130"/>
      <c r="EV19" s="130"/>
      <c r="EW19" s="130"/>
      <c r="EX19" s="130"/>
      <c r="EY19" s="130"/>
      <c r="EZ19" s="133"/>
      <c r="FA19" s="132"/>
      <c r="FB19" s="132"/>
      <c r="FC19" s="132"/>
      <c r="FD19" s="132"/>
      <c r="FE19" s="132"/>
      <c r="FF19" s="129"/>
      <c r="FG19" s="130"/>
      <c r="FH19" s="130"/>
      <c r="FI19" s="130"/>
      <c r="FJ19" s="129"/>
      <c r="FK19" s="130"/>
      <c r="FL19" s="131"/>
      <c r="FM19" s="129"/>
      <c r="FP19" s="97" t="s">
        <v>217</v>
      </c>
    </row>
    <row r="20" spans="1:212">
      <c r="A20" s="95" t="s">
        <v>214</v>
      </c>
      <c r="B20" s="96" t="s">
        <v>223</v>
      </c>
      <c r="C20" s="95">
        <v>1</v>
      </c>
      <c r="D20" s="95">
        <f>COUNTA(E20:KX20)</f>
        <v>6</v>
      </c>
      <c r="E20" s="129"/>
      <c r="F20" s="130"/>
      <c r="G20" s="130"/>
      <c r="H20" s="130"/>
      <c r="I20" s="130"/>
      <c r="J20" s="130"/>
      <c r="K20" s="131"/>
      <c r="L20" s="129"/>
      <c r="M20" s="130"/>
      <c r="N20" s="130"/>
      <c r="O20" s="131"/>
      <c r="P20" s="129"/>
      <c r="Q20" s="130"/>
      <c r="R20" s="130"/>
      <c r="S20" s="130"/>
      <c r="T20" s="130"/>
      <c r="U20" s="131"/>
      <c r="V20" s="129"/>
      <c r="W20" s="130"/>
      <c r="X20" s="130"/>
      <c r="Y20" s="130"/>
      <c r="Z20" s="130"/>
      <c r="AA20" s="130"/>
      <c r="AB20" s="131"/>
      <c r="AC20" s="129"/>
      <c r="AD20" s="130"/>
      <c r="AE20" s="130"/>
      <c r="AF20" s="130"/>
      <c r="AG20" s="130"/>
      <c r="AH20" s="131"/>
      <c r="AI20" s="129"/>
      <c r="AJ20" s="130"/>
      <c r="AK20" s="130"/>
      <c r="AL20" s="130"/>
      <c r="AM20" s="130"/>
      <c r="AN20" s="130"/>
      <c r="AO20" s="131"/>
      <c r="AP20" s="129"/>
      <c r="AQ20" s="130"/>
      <c r="AR20" s="130"/>
      <c r="AS20" s="131"/>
      <c r="AT20" s="129"/>
      <c r="AU20" s="130"/>
      <c r="AV20" s="130"/>
      <c r="AW20" s="130"/>
      <c r="AX20" s="130"/>
      <c r="AY20" s="131"/>
      <c r="AZ20" s="129"/>
      <c r="BA20" s="130"/>
      <c r="BB20" s="130"/>
      <c r="BC20" s="130"/>
      <c r="BD20" s="130"/>
      <c r="BE20" s="130"/>
      <c r="BF20" s="131"/>
      <c r="BG20" s="129"/>
      <c r="BH20" s="130"/>
      <c r="BI20" s="130"/>
      <c r="BJ20" s="130"/>
      <c r="BK20" s="131"/>
      <c r="BL20" s="129"/>
      <c r="BM20" s="130"/>
      <c r="BN20" s="130"/>
      <c r="BO20" s="130"/>
      <c r="BP20" s="130"/>
      <c r="BQ20" s="130"/>
      <c r="BR20" s="130"/>
      <c r="BS20" s="131"/>
      <c r="BT20" s="132"/>
      <c r="BU20" s="132"/>
      <c r="BV20" s="132"/>
      <c r="BW20" s="132"/>
      <c r="BX20" s="132"/>
      <c r="BY20" s="129"/>
      <c r="BZ20" s="130"/>
      <c r="CA20" s="130"/>
      <c r="CB20" s="130"/>
      <c r="CC20" s="130"/>
      <c r="CD20" s="131"/>
      <c r="CE20" s="132"/>
      <c r="CF20" s="132"/>
      <c r="CG20" s="132"/>
      <c r="CH20" s="132"/>
      <c r="CI20" s="132"/>
      <c r="CJ20" s="129"/>
      <c r="CK20" s="130"/>
      <c r="CL20" s="131"/>
      <c r="CM20" s="132"/>
      <c r="CN20" s="132"/>
      <c r="CO20" s="132"/>
      <c r="CP20" s="129"/>
      <c r="CQ20" s="130"/>
      <c r="CR20" s="130"/>
      <c r="CS20" s="130"/>
      <c r="CT20" s="131"/>
      <c r="CU20" s="129"/>
      <c r="CV20" s="130"/>
      <c r="CW20" s="130"/>
      <c r="CX20" s="130"/>
      <c r="CY20" s="130"/>
      <c r="CZ20" s="131"/>
      <c r="DA20" s="129"/>
      <c r="DB20" s="130"/>
      <c r="DC20" s="130"/>
      <c r="DD20" s="130"/>
      <c r="DE20" s="131"/>
      <c r="DF20" s="129"/>
      <c r="DG20" s="130"/>
      <c r="DH20" s="130"/>
      <c r="DI20" s="130"/>
      <c r="DJ20" s="130"/>
      <c r="DK20" s="131"/>
      <c r="DL20" s="129"/>
      <c r="DM20" s="130"/>
      <c r="DN20" s="130"/>
      <c r="DO20" s="130"/>
      <c r="DP20" s="130"/>
      <c r="DQ20" s="131"/>
      <c r="DR20" s="129"/>
      <c r="DS20" s="130"/>
      <c r="DT20" s="130"/>
      <c r="DU20" s="130"/>
      <c r="DV20" s="130"/>
      <c r="DW20" s="131"/>
      <c r="DX20" s="129"/>
      <c r="DY20" s="130"/>
      <c r="DZ20" s="130"/>
      <c r="EA20" s="130"/>
      <c r="EB20" s="130"/>
      <c r="EC20" s="131"/>
      <c r="ED20" s="129"/>
      <c r="EE20" s="130"/>
      <c r="EF20" s="130"/>
      <c r="EG20" s="130"/>
      <c r="EH20" s="130"/>
      <c r="EI20" s="130"/>
      <c r="EJ20" s="129"/>
      <c r="EK20" s="130"/>
      <c r="EL20" s="130"/>
      <c r="EM20" s="130"/>
      <c r="EN20" s="130"/>
      <c r="EO20" s="130"/>
      <c r="EP20" s="130"/>
      <c r="EQ20" s="130"/>
      <c r="ER20" s="130"/>
      <c r="ES20" s="130"/>
      <c r="ET20" s="130"/>
      <c r="EU20" s="130"/>
      <c r="EV20" s="130"/>
      <c r="EW20" s="130"/>
      <c r="EX20" s="130"/>
      <c r="EY20" s="130"/>
      <c r="EZ20" s="133"/>
      <c r="FA20" s="132"/>
      <c r="FB20" s="132"/>
      <c r="FC20" s="132"/>
      <c r="FD20" s="132"/>
      <c r="FE20" s="132"/>
      <c r="FF20" s="129"/>
      <c r="FG20" s="130"/>
      <c r="FH20" s="130"/>
      <c r="FI20" s="130" t="s">
        <v>217</v>
      </c>
      <c r="FJ20" s="129" t="s">
        <v>217</v>
      </c>
      <c r="FK20" s="130" t="s">
        <v>217</v>
      </c>
      <c r="FL20" s="131"/>
      <c r="FM20" s="129"/>
      <c r="FR20" s="129" t="s">
        <v>217</v>
      </c>
      <c r="GX20" s="97" t="s">
        <v>149</v>
      </c>
      <c r="HD20" s="97" t="s">
        <v>149</v>
      </c>
    </row>
    <row r="21" spans="1:212">
      <c r="A21" s="95" t="s">
        <v>214</v>
      </c>
      <c r="B21" s="96" t="s">
        <v>224</v>
      </c>
      <c r="C21" s="95">
        <v>1</v>
      </c>
      <c r="D21" s="95">
        <f>COUNTA(E21:KX21)</f>
        <v>5</v>
      </c>
      <c r="E21" s="129"/>
      <c r="F21" s="130"/>
      <c r="G21" s="130"/>
      <c r="H21" s="130"/>
      <c r="I21" s="130"/>
      <c r="J21" s="130"/>
      <c r="K21" s="131"/>
      <c r="L21" s="129"/>
      <c r="M21" s="130"/>
      <c r="N21" s="130"/>
      <c r="O21" s="131"/>
      <c r="P21" s="129"/>
      <c r="Q21" s="130"/>
      <c r="R21" s="130"/>
      <c r="S21" s="130"/>
      <c r="T21" s="130"/>
      <c r="U21" s="131"/>
      <c r="V21" s="129"/>
      <c r="W21" s="130"/>
      <c r="X21" s="130"/>
      <c r="Y21" s="130"/>
      <c r="Z21" s="130"/>
      <c r="AA21" s="130"/>
      <c r="AB21" s="131"/>
      <c r="AC21" s="129"/>
      <c r="AD21" s="130"/>
      <c r="AE21" s="130"/>
      <c r="AF21" s="130"/>
      <c r="AG21" s="130"/>
      <c r="AH21" s="131"/>
      <c r="AI21" s="129"/>
      <c r="AJ21" s="130"/>
      <c r="AK21" s="130"/>
      <c r="AL21" s="130"/>
      <c r="AM21" s="130"/>
      <c r="AN21" s="130"/>
      <c r="AO21" s="131"/>
      <c r="AP21" s="129"/>
      <c r="AQ21" s="130"/>
      <c r="AR21" s="130"/>
      <c r="AS21" s="131"/>
      <c r="AT21" s="129"/>
      <c r="AU21" s="130"/>
      <c r="AV21" s="130"/>
      <c r="AW21" s="130"/>
      <c r="AX21" s="130"/>
      <c r="AY21" s="131"/>
      <c r="AZ21" s="129"/>
      <c r="BA21" s="130"/>
      <c r="BB21" s="130"/>
      <c r="BC21" s="130"/>
      <c r="BD21" s="130"/>
      <c r="BE21" s="130"/>
      <c r="BF21" s="131"/>
      <c r="BG21" s="129"/>
      <c r="BH21" s="130"/>
      <c r="BI21" s="130"/>
      <c r="BJ21" s="130"/>
      <c r="BK21" s="131"/>
      <c r="BL21" s="129"/>
      <c r="BM21" s="130"/>
      <c r="BN21" s="130"/>
      <c r="BO21" s="130"/>
      <c r="BP21" s="130"/>
      <c r="BQ21" s="130"/>
      <c r="BR21" s="130"/>
      <c r="BS21" s="131"/>
      <c r="BT21" s="132"/>
      <c r="BU21" s="132"/>
      <c r="BV21" s="132"/>
      <c r="BW21" s="132"/>
      <c r="BX21" s="132"/>
      <c r="BY21" s="129"/>
      <c r="BZ21" s="130"/>
      <c r="CA21" s="130"/>
      <c r="CB21" s="130"/>
      <c r="CC21" s="130"/>
      <c r="CD21" s="131"/>
      <c r="CE21" s="132"/>
      <c r="CF21" s="132"/>
      <c r="CG21" s="132"/>
      <c r="CH21" s="132"/>
      <c r="CI21" s="132"/>
      <c r="CJ21" s="129"/>
      <c r="CK21" s="130"/>
      <c r="CL21" s="131"/>
      <c r="CM21" s="132"/>
      <c r="CN21" s="132"/>
      <c r="CO21" s="132"/>
      <c r="CP21" s="129"/>
      <c r="CQ21" s="130"/>
      <c r="CR21" s="130"/>
      <c r="CS21" s="130"/>
      <c r="CT21" s="131"/>
      <c r="CU21" s="129"/>
      <c r="CV21" s="130"/>
      <c r="CW21" s="130"/>
      <c r="CX21" s="130"/>
      <c r="CY21" s="130"/>
      <c r="CZ21" s="131"/>
      <c r="DA21" s="129"/>
      <c r="DB21" s="130"/>
      <c r="DC21" s="130"/>
      <c r="DD21" s="130"/>
      <c r="DE21" s="131"/>
      <c r="DF21" s="129"/>
      <c r="DG21" s="130"/>
      <c r="DH21" s="130"/>
      <c r="DI21" s="130"/>
      <c r="DJ21" s="130"/>
      <c r="DK21" s="131"/>
      <c r="DL21" s="129"/>
      <c r="DM21" s="130"/>
      <c r="DN21" s="130"/>
      <c r="DO21" s="130"/>
      <c r="DP21" s="130"/>
      <c r="DQ21" s="131"/>
      <c r="DR21" s="129"/>
      <c r="DS21" s="130"/>
      <c r="DT21" s="130"/>
      <c r="DU21" s="130"/>
      <c r="DV21" s="130"/>
      <c r="DW21" s="131"/>
      <c r="DX21" s="129"/>
      <c r="DY21" s="130"/>
      <c r="DZ21" s="130"/>
      <c r="EA21" s="130"/>
      <c r="EB21" s="130"/>
      <c r="EC21" s="131"/>
      <c r="ED21" s="129"/>
      <c r="EE21" s="130"/>
      <c r="EF21" s="130"/>
      <c r="EG21" s="130"/>
      <c r="EH21" s="130"/>
      <c r="EI21" s="130"/>
      <c r="EJ21" s="129"/>
      <c r="EK21" s="130"/>
      <c r="EL21" s="130"/>
      <c r="EM21" s="130"/>
      <c r="EN21" s="130"/>
      <c r="EO21" s="130"/>
      <c r="EP21" s="130"/>
      <c r="EQ21" s="130"/>
      <c r="ER21" s="130"/>
      <c r="ES21" s="130"/>
      <c r="ET21" s="130"/>
      <c r="EU21" s="130"/>
      <c r="EV21" s="130"/>
      <c r="EW21" s="130"/>
      <c r="EX21" s="130"/>
      <c r="EY21" s="130"/>
      <c r="EZ21" s="133"/>
      <c r="FA21" s="132" t="s">
        <v>217</v>
      </c>
      <c r="FB21" s="132"/>
      <c r="FC21" s="132"/>
      <c r="FD21" s="132" t="s">
        <v>217</v>
      </c>
      <c r="FE21" s="132"/>
      <c r="FF21" s="129"/>
      <c r="FG21" s="130"/>
      <c r="FH21" s="130"/>
      <c r="FI21" s="130"/>
      <c r="FJ21" s="129"/>
      <c r="FK21" s="130" t="s">
        <v>217</v>
      </c>
      <c r="FL21" s="131"/>
      <c r="FM21" s="129"/>
      <c r="FN21" s="97" t="s">
        <v>217</v>
      </c>
      <c r="FR21" s="129"/>
      <c r="FT21" s="97" t="s">
        <v>149</v>
      </c>
    </row>
    <row r="22" spans="1:212" ht="30">
      <c r="A22" s="95" t="s">
        <v>225</v>
      </c>
      <c r="B22" s="96" t="s">
        <v>226</v>
      </c>
      <c r="C22" s="95">
        <v>1</v>
      </c>
      <c r="D22" s="95">
        <f>COUNTA(E22:KX22)</f>
        <v>1</v>
      </c>
      <c r="E22" s="129"/>
      <c r="F22" s="130"/>
      <c r="G22" s="130"/>
      <c r="H22" s="130"/>
      <c r="I22" s="130"/>
      <c r="J22" s="130"/>
      <c r="K22" s="131"/>
      <c r="L22" s="129"/>
      <c r="M22" s="130"/>
      <c r="N22" s="130"/>
      <c r="O22" s="131"/>
      <c r="P22" s="129"/>
      <c r="Q22" s="130"/>
      <c r="R22" s="130"/>
      <c r="S22" s="130"/>
      <c r="T22" s="130"/>
      <c r="U22" s="131"/>
      <c r="V22" s="129"/>
      <c r="W22" s="130"/>
      <c r="X22" s="130"/>
      <c r="Y22" s="130"/>
      <c r="Z22" s="130"/>
      <c r="AA22" s="130"/>
      <c r="AB22" s="131"/>
      <c r="AC22" s="129"/>
      <c r="AD22" s="130"/>
      <c r="AE22" s="130"/>
      <c r="AF22" s="130"/>
      <c r="AG22" s="130"/>
      <c r="AH22" s="131"/>
      <c r="AI22" s="129"/>
      <c r="AJ22" s="130"/>
      <c r="AK22" s="130"/>
      <c r="AL22" s="130"/>
      <c r="AM22" s="130"/>
      <c r="AN22" s="130"/>
      <c r="AO22" s="131"/>
      <c r="AP22" s="129"/>
      <c r="AQ22" s="130"/>
      <c r="AR22" s="130"/>
      <c r="AS22" s="131"/>
      <c r="AT22" s="129"/>
      <c r="AU22" s="130"/>
      <c r="AV22" s="130"/>
      <c r="AW22" s="130"/>
      <c r="AX22" s="130"/>
      <c r="AY22" s="131"/>
      <c r="AZ22" s="129"/>
      <c r="BA22" s="130"/>
      <c r="BB22" s="130"/>
      <c r="BC22" s="130"/>
      <c r="BD22" s="130"/>
      <c r="BE22" s="130"/>
      <c r="BF22" s="131"/>
      <c r="BG22" s="129"/>
      <c r="BH22" s="130"/>
      <c r="BI22" s="130"/>
      <c r="BJ22" s="130"/>
      <c r="BK22" s="131"/>
      <c r="BL22" s="129"/>
      <c r="BM22" s="130"/>
      <c r="BN22" s="130"/>
      <c r="BO22" s="130"/>
      <c r="BP22" s="130"/>
      <c r="BQ22" s="130"/>
      <c r="BR22" s="130"/>
      <c r="BS22" s="131"/>
      <c r="BT22" s="132"/>
      <c r="BU22" s="132"/>
      <c r="BV22" s="132"/>
      <c r="BW22" s="132"/>
      <c r="BX22" s="132"/>
      <c r="BY22" s="129"/>
      <c r="BZ22" s="130"/>
      <c r="CA22" s="130"/>
      <c r="CB22" s="130"/>
      <c r="CC22" s="130"/>
      <c r="CD22" s="131"/>
      <c r="CE22" s="132"/>
      <c r="CF22" s="132"/>
      <c r="CG22" s="132"/>
      <c r="CH22" s="132"/>
      <c r="CI22" s="132"/>
      <c r="CJ22" s="129"/>
      <c r="CK22" s="130"/>
      <c r="CL22" s="131"/>
      <c r="CM22" s="132"/>
      <c r="CN22" s="132"/>
      <c r="CO22" s="132"/>
      <c r="CP22" s="129"/>
      <c r="CQ22" s="130"/>
      <c r="CR22" s="130"/>
      <c r="CS22" s="130"/>
      <c r="CT22" s="131"/>
      <c r="CU22" s="129"/>
      <c r="CV22" s="130"/>
      <c r="CW22" s="130"/>
      <c r="CX22" s="130"/>
      <c r="CY22" s="130"/>
      <c r="CZ22" s="131"/>
      <c r="DA22" s="129"/>
      <c r="DB22" s="130"/>
      <c r="DC22" s="130"/>
      <c r="DD22" s="130"/>
      <c r="DE22" s="131"/>
      <c r="DF22" s="129"/>
      <c r="DG22" s="130"/>
      <c r="DH22" s="130"/>
      <c r="DI22" s="130"/>
      <c r="DJ22" s="130"/>
      <c r="DK22" s="131"/>
      <c r="DL22" s="129"/>
      <c r="DM22" s="130"/>
      <c r="DN22" s="130"/>
      <c r="DO22" s="130"/>
      <c r="DP22" s="130"/>
      <c r="DQ22" s="131"/>
      <c r="DR22" s="129"/>
      <c r="DS22" s="130"/>
      <c r="DT22" s="130"/>
      <c r="DU22" s="130"/>
      <c r="DV22" s="130"/>
      <c r="DW22" s="131"/>
      <c r="DX22" s="129"/>
      <c r="DY22" s="130"/>
      <c r="DZ22" s="130"/>
      <c r="EA22" s="130"/>
      <c r="EB22" s="130"/>
      <c r="EC22" s="131"/>
      <c r="ED22" s="129"/>
      <c r="EE22" s="130"/>
      <c r="EF22" s="130"/>
      <c r="EG22" s="130"/>
      <c r="EH22" s="130"/>
      <c r="EI22" s="130"/>
      <c r="EJ22" s="129"/>
      <c r="EK22" s="130"/>
      <c r="EL22" s="130"/>
      <c r="EM22" s="130"/>
      <c r="EN22" s="130"/>
      <c r="EO22" s="130"/>
      <c r="EP22" s="130"/>
      <c r="EQ22" s="130"/>
      <c r="ER22" s="130"/>
      <c r="ES22" s="130"/>
      <c r="ET22" s="130"/>
      <c r="EU22" s="130"/>
      <c r="EV22" s="130"/>
      <c r="EW22" s="130"/>
      <c r="EX22" s="130"/>
      <c r="EY22" s="130"/>
      <c r="EZ22" s="133"/>
      <c r="FA22" s="132"/>
      <c r="FB22" s="132"/>
      <c r="FC22" s="132"/>
      <c r="FD22" s="132"/>
      <c r="FE22" s="132"/>
      <c r="FF22" s="129"/>
      <c r="FG22" s="130"/>
      <c r="FH22" s="130"/>
      <c r="FI22" s="130"/>
      <c r="FJ22" s="129"/>
      <c r="FK22" s="130"/>
      <c r="FL22" s="131"/>
      <c r="FM22" s="129"/>
      <c r="FP22" s="97" t="s">
        <v>217</v>
      </c>
      <c r="FR22" s="129"/>
    </row>
    <row r="23" spans="1:212">
      <c r="A23" s="95" t="s">
        <v>227</v>
      </c>
      <c r="B23" s="96" t="s">
        <v>228</v>
      </c>
      <c r="C23" s="95">
        <v>0</v>
      </c>
      <c r="D23" s="95">
        <f>COUNTA(E23:KX23)</f>
        <v>109</v>
      </c>
      <c r="E23" s="129" t="s">
        <v>217</v>
      </c>
      <c r="F23" s="130" t="s">
        <v>217</v>
      </c>
      <c r="G23" s="130" t="s">
        <v>217</v>
      </c>
      <c r="H23" s="130" t="s">
        <v>217</v>
      </c>
      <c r="I23" s="130" t="s">
        <v>217</v>
      </c>
      <c r="J23" s="130" t="s">
        <v>217</v>
      </c>
      <c r="K23" s="131" t="s">
        <v>217</v>
      </c>
      <c r="L23" s="129" t="s">
        <v>217</v>
      </c>
      <c r="M23" s="130" t="s">
        <v>217</v>
      </c>
      <c r="N23" s="130" t="s">
        <v>217</v>
      </c>
      <c r="O23" s="131" t="s">
        <v>217</v>
      </c>
      <c r="P23" s="129" t="s">
        <v>217</v>
      </c>
      <c r="Q23" s="130" t="s">
        <v>217</v>
      </c>
      <c r="R23" s="130" t="s">
        <v>217</v>
      </c>
      <c r="S23" s="130" t="s">
        <v>217</v>
      </c>
      <c r="T23" s="130" t="s">
        <v>217</v>
      </c>
      <c r="U23" s="131" t="s">
        <v>217</v>
      </c>
      <c r="V23" s="129" t="s">
        <v>217</v>
      </c>
      <c r="W23" s="130" t="s">
        <v>217</v>
      </c>
      <c r="X23" s="130" t="s">
        <v>217</v>
      </c>
      <c r="Y23" s="130" t="s">
        <v>217</v>
      </c>
      <c r="Z23" s="130" t="s">
        <v>217</v>
      </c>
      <c r="AA23" s="130" t="s">
        <v>217</v>
      </c>
      <c r="AB23" s="131" t="s">
        <v>217</v>
      </c>
      <c r="AC23" s="129" t="s">
        <v>217</v>
      </c>
      <c r="AD23" s="130" t="s">
        <v>217</v>
      </c>
      <c r="AE23" s="130"/>
      <c r="AF23" s="130" t="s">
        <v>217</v>
      </c>
      <c r="AG23" s="130" t="s">
        <v>217</v>
      </c>
      <c r="AH23" s="131" t="s">
        <v>217</v>
      </c>
      <c r="AI23" s="129" t="s">
        <v>217</v>
      </c>
      <c r="AJ23" s="130" t="s">
        <v>217</v>
      </c>
      <c r="AK23" s="130" t="s">
        <v>217</v>
      </c>
      <c r="AL23" s="130" t="s">
        <v>217</v>
      </c>
      <c r="AM23" s="130" t="s">
        <v>217</v>
      </c>
      <c r="AN23" s="130" t="s">
        <v>217</v>
      </c>
      <c r="AO23" s="131" t="s">
        <v>217</v>
      </c>
      <c r="AP23" s="129" t="s">
        <v>217</v>
      </c>
      <c r="AQ23" s="130" t="s">
        <v>217</v>
      </c>
      <c r="AR23" s="130" t="s">
        <v>217</v>
      </c>
      <c r="AS23" s="131" t="s">
        <v>217</v>
      </c>
      <c r="AT23" s="129" t="s">
        <v>217</v>
      </c>
      <c r="AU23" s="130" t="s">
        <v>217</v>
      </c>
      <c r="AV23" s="130" t="s">
        <v>217</v>
      </c>
      <c r="AW23" s="130" t="s">
        <v>217</v>
      </c>
      <c r="AX23" s="130" t="s">
        <v>217</v>
      </c>
      <c r="AY23" s="131" t="s">
        <v>217</v>
      </c>
      <c r="AZ23" s="129" t="s">
        <v>217</v>
      </c>
      <c r="BA23" s="130" t="s">
        <v>217</v>
      </c>
      <c r="BB23" s="130" t="s">
        <v>217</v>
      </c>
      <c r="BC23" s="130" t="s">
        <v>217</v>
      </c>
      <c r="BD23" s="130" t="s">
        <v>217</v>
      </c>
      <c r="BE23" s="130" t="s">
        <v>217</v>
      </c>
      <c r="BF23" s="131" t="s">
        <v>217</v>
      </c>
      <c r="BG23" s="129" t="s">
        <v>217</v>
      </c>
      <c r="BH23" s="130" t="s">
        <v>217</v>
      </c>
      <c r="BI23" s="130" t="s">
        <v>217</v>
      </c>
      <c r="BJ23" s="130" t="s">
        <v>217</v>
      </c>
      <c r="BK23" s="131" t="s">
        <v>217</v>
      </c>
      <c r="BL23" s="129" t="s">
        <v>217</v>
      </c>
      <c r="BM23" s="130" t="s">
        <v>217</v>
      </c>
      <c r="BN23" s="130" t="s">
        <v>217</v>
      </c>
      <c r="BO23" s="130" t="s">
        <v>217</v>
      </c>
      <c r="BP23" s="130" t="s">
        <v>217</v>
      </c>
      <c r="BQ23" s="130" t="s">
        <v>217</v>
      </c>
      <c r="BR23" s="130" t="s">
        <v>217</v>
      </c>
      <c r="BS23" s="131" t="s">
        <v>217</v>
      </c>
      <c r="BT23" s="132" t="s">
        <v>217</v>
      </c>
      <c r="BU23" s="132" t="s">
        <v>217</v>
      </c>
      <c r="BV23" s="132" t="s">
        <v>217</v>
      </c>
      <c r="BW23" s="132" t="s">
        <v>217</v>
      </c>
      <c r="BX23" s="132" t="s">
        <v>217</v>
      </c>
      <c r="BY23" s="129" t="s">
        <v>217</v>
      </c>
      <c r="BZ23" s="130" t="s">
        <v>217</v>
      </c>
      <c r="CA23" s="130" t="s">
        <v>217</v>
      </c>
      <c r="CB23" s="130" t="s">
        <v>217</v>
      </c>
      <c r="CC23" s="130" t="s">
        <v>217</v>
      </c>
      <c r="CD23" s="131" t="s">
        <v>217</v>
      </c>
      <c r="CE23" s="132" t="s">
        <v>217</v>
      </c>
      <c r="CF23" s="132" t="s">
        <v>217</v>
      </c>
      <c r="CG23" s="132" t="s">
        <v>217</v>
      </c>
      <c r="CH23" s="132" t="s">
        <v>217</v>
      </c>
      <c r="CI23" s="132" t="s">
        <v>217</v>
      </c>
      <c r="CJ23" s="129" t="s">
        <v>217</v>
      </c>
      <c r="CK23" s="130" t="s">
        <v>217</v>
      </c>
      <c r="CL23" s="131" t="s">
        <v>217</v>
      </c>
      <c r="CM23" s="132" t="s">
        <v>217</v>
      </c>
      <c r="CN23" s="132" t="s">
        <v>217</v>
      </c>
      <c r="CO23" s="132"/>
      <c r="CP23" s="129" t="s">
        <v>217</v>
      </c>
      <c r="CQ23" s="130" t="s">
        <v>217</v>
      </c>
      <c r="CR23" s="130" t="s">
        <v>217</v>
      </c>
      <c r="CS23" s="130" t="s">
        <v>217</v>
      </c>
      <c r="CT23" s="131" t="s">
        <v>217</v>
      </c>
      <c r="CU23" s="129" t="s">
        <v>217</v>
      </c>
      <c r="CV23" s="130" t="s">
        <v>217</v>
      </c>
      <c r="CW23" s="130" t="s">
        <v>217</v>
      </c>
      <c r="CX23" s="130" t="s">
        <v>217</v>
      </c>
      <c r="CY23" s="130" t="s">
        <v>217</v>
      </c>
      <c r="CZ23" s="131" t="s">
        <v>217</v>
      </c>
      <c r="DA23" s="129" t="s">
        <v>217</v>
      </c>
      <c r="DB23" s="130" t="s">
        <v>217</v>
      </c>
      <c r="DC23" s="130" t="s">
        <v>217</v>
      </c>
      <c r="DD23" s="130" t="s">
        <v>217</v>
      </c>
      <c r="DE23" s="131" t="s">
        <v>217</v>
      </c>
      <c r="DF23" s="129"/>
      <c r="DG23" s="130"/>
      <c r="DH23" s="130"/>
      <c r="DI23" s="130"/>
      <c r="DJ23" s="130"/>
      <c r="DK23" s="131"/>
      <c r="DL23" s="129"/>
      <c r="DM23" s="130"/>
      <c r="DN23" s="130"/>
      <c r="DO23" s="130"/>
      <c r="DP23" s="130"/>
      <c r="DQ23" s="131"/>
      <c r="DR23" s="129"/>
      <c r="DS23" s="130"/>
      <c r="DT23" s="130"/>
      <c r="DU23" s="130"/>
      <c r="DV23" s="130"/>
      <c r="DW23" s="131"/>
      <c r="DX23" s="129"/>
      <c r="DY23" s="130"/>
      <c r="DZ23" s="130"/>
      <c r="EA23" s="130"/>
      <c r="EB23" s="130"/>
      <c r="EC23" s="131"/>
      <c r="ED23" s="129"/>
      <c r="EE23" s="130"/>
      <c r="EF23" s="130"/>
      <c r="EG23" s="130"/>
      <c r="EH23" s="130"/>
      <c r="EI23" s="130"/>
      <c r="EJ23" s="129"/>
      <c r="EK23" s="130"/>
      <c r="EL23" s="130"/>
      <c r="EM23" s="130"/>
      <c r="EN23" s="130"/>
      <c r="EO23" s="130"/>
      <c r="EP23" s="130"/>
      <c r="EQ23" s="130"/>
      <c r="ER23" s="130"/>
      <c r="ES23" s="130"/>
      <c r="ET23" s="130"/>
      <c r="EU23" s="130"/>
      <c r="EV23" s="130"/>
      <c r="EW23" s="130"/>
      <c r="EX23" s="130"/>
      <c r="EY23" s="130"/>
      <c r="EZ23" s="133" t="s">
        <v>149</v>
      </c>
      <c r="FA23" s="132" t="s">
        <v>149</v>
      </c>
      <c r="FB23" s="132" t="s">
        <v>149</v>
      </c>
      <c r="FC23" s="132" t="s">
        <v>149</v>
      </c>
      <c r="FD23" s="132" t="s">
        <v>149</v>
      </c>
      <c r="FE23" s="132" t="s">
        <v>149</v>
      </c>
      <c r="FF23" s="129"/>
      <c r="FG23" s="130"/>
      <c r="FH23" s="130"/>
      <c r="FI23" s="130"/>
      <c r="FJ23" s="129"/>
      <c r="FK23" s="130"/>
      <c r="FL23" s="131"/>
      <c r="FM23" s="129"/>
    </row>
    <row r="24" spans="1:212">
      <c r="A24" s="95" t="s">
        <v>227</v>
      </c>
      <c r="B24" s="96" t="s">
        <v>229</v>
      </c>
      <c r="C24" s="95">
        <v>4</v>
      </c>
      <c r="D24" s="95">
        <f>COUNTA(E24:KX24)</f>
        <v>18</v>
      </c>
      <c r="E24" s="129"/>
      <c r="F24" s="130"/>
      <c r="G24" s="130"/>
      <c r="H24" s="130"/>
      <c r="I24" s="130"/>
      <c r="J24" s="130"/>
      <c r="K24" s="131" t="s">
        <v>217</v>
      </c>
      <c r="L24" s="129"/>
      <c r="M24" s="130"/>
      <c r="N24" s="130"/>
      <c r="O24" s="131"/>
      <c r="P24" s="129"/>
      <c r="Q24" s="130"/>
      <c r="R24" s="130"/>
      <c r="S24" s="130"/>
      <c r="T24" s="130"/>
      <c r="U24" s="131"/>
      <c r="V24" s="129"/>
      <c r="W24" s="130"/>
      <c r="X24" s="130"/>
      <c r="Y24" s="130"/>
      <c r="Z24" s="130"/>
      <c r="AA24" s="130"/>
      <c r="AB24" s="131"/>
      <c r="AC24" s="129"/>
      <c r="AD24" s="130"/>
      <c r="AE24" s="130"/>
      <c r="AF24" s="130"/>
      <c r="AG24" s="130"/>
      <c r="AH24" s="131" t="s">
        <v>217</v>
      </c>
      <c r="AI24" s="129"/>
      <c r="AJ24" s="130"/>
      <c r="AK24" s="130"/>
      <c r="AL24" s="130"/>
      <c r="AM24" s="130"/>
      <c r="AN24" s="130"/>
      <c r="AO24" s="131" t="s">
        <v>217</v>
      </c>
      <c r="AP24" s="129"/>
      <c r="AQ24" s="130"/>
      <c r="AR24" s="130"/>
      <c r="AS24" s="131"/>
      <c r="AT24" s="129" t="s">
        <v>217</v>
      </c>
      <c r="AU24" s="130"/>
      <c r="AV24" s="130"/>
      <c r="AW24" s="130"/>
      <c r="AX24" s="130"/>
      <c r="AY24" s="131" t="s">
        <v>217</v>
      </c>
      <c r="AZ24" s="129"/>
      <c r="BA24" s="130"/>
      <c r="BB24" s="130"/>
      <c r="BC24" s="130"/>
      <c r="BD24" s="130"/>
      <c r="BE24" s="130"/>
      <c r="BF24" s="131" t="s">
        <v>217</v>
      </c>
      <c r="BG24" s="129"/>
      <c r="BH24" s="130"/>
      <c r="BI24" s="130"/>
      <c r="BJ24" s="130"/>
      <c r="BK24" s="131" t="s">
        <v>217</v>
      </c>
      <c r="BL24" s="129"/>
      <c r="BM24" s="130"/>
      <c r="BN24" s="130"/>
      <c r="BO24" s="130"/>
      <c r="BP24" s="130"/>
      <c r="BQ24" s="130"/>
      <c r="BR24" s="130"/>
      <c r="BS24" s="131" t="s">
        <v>217</v>
      </c>
      <c r="BT24" s="132"/>
      <c r="BU24" s="132"/>
      <c r="BV24" s="132"/>
      <c r="BW24" s="132"/>
      <c r="BX24" s="132" t="s">
        <v>217</v>
      </c>
      <c r="BY24" s="129"/>
      <c r="BZ24" s="130"/>
      <c r="CA24" s="130"/>
      <c r="CB24" s="130"/>
      <c r="CC24" s="130"/>
      <c r="CD24" s="131" t="s">
        <v>217</v>
      </c>
      <c r="CE24" s="132"/>
      <c r="CF24" s="132"/>
      <c r="CG24" s="132"/>
      <c r="CH24" s="132"/>
      <c r="CI24" s="132" t="s">
        <v>217</v>
      </c>
      <c r="CJ24" s="129"/>
      <c r="CK24" s="130"/>
      <c r="CL24" s="131" t="s">
        <v>217</v>
      </c>
      <c r="CM24" s="132"/>
      <c r="CN24" s="132" t="s">
        <v>217</v>
      </c>
      <c r="CO24" s="132"/>
      <c r="CP24" s="129"/>
      <c r="CQ24" s="130"/>
      <c r="CR24" s="130"/>
      <c r="CS24" s="130"/>
      <c r="CT24" s="131" t="s">
        <v>217</v>
      </c>
      <c r="CU24" s="129"/>
      <c r="CV24" s="130"/>
      <c r="CW24" s="130"/>
      <c r="CX24" s="130"/>
      <c r="CY24" s="130"/>
      <c r="CZ24" s="131" t="s">
        <v>217</v>
      </c>
      <c r="DA24" s="129"/>
      <c r="DB24" s="130"/>
      <c r="DC24" s="130"/>
      <c r="DD24" s="130"/>
      <c r="DE24" s="131" t="s">
        <v>217</v>
      </c>
      <c r="DF24" s="129"/>
      <c r="DG24" s="130"/>
      <c r="DH24" s="130"/>
      <c r="DI24" s="130"/>
      <c r="DJ24" s="130"/>
      <c r="DK24" s="131"/>
      <c r="DL24" s="129"/>
      <c r="DM24" s="130"/>
      <c r="DN24" s="130"/>
      <c r="DO24" s="130"/>
      <c r="DP24" s="130"/>
      <c r="DQ24" s="131"/>
      <c r="DR24" s="129"/>
      <c r="DS24" s="130"/>
      <c r="DT24" s="130"/>
      <c r="DU24" s="130"/>
      <c r="DV24" s="130"/>
      <c r="DW24" s="131"/>
      <c r="DX24" s="129"/>
      <c r="DY24" s="130"/>
      <c r="DZ24" s="130"/>
      <c r="EA24" s="130"/>
      <c r="EB24" s="130"/>
      <c r="EC24" s="131"/>
      <c r="ED24" s="129"/>
      <c r="EE24" s="130"/>
      <c r="EF24" s="130"/>
      <c r="EG24" s="130"/>
      <c r="EH24" s="130"/>
      <c r="EI24" s="130"/>
      <c r="EJ24" s="129"/>
      <c r="EK24" s="130"/>
      <c r="EL24" s="130"/>
      <c r="EM24" s="130"/>
      <c r="EN24" s="130"/>
      <c r="EO24" s="130"/>
      <c r="EP24" s="130"/>
      <c r="EQ24" s="130"/>
      <c r="ER24" s="130"/>
      <c r="ES24" s="130"/>
      <c r="ET24" s="130"/>
      <c r="EU24" s="130"/>
      <c r="EV24" s="130"/>
      <c r="EW24" s="130"/>
      <c r="EX24" s="130"/>
      <c r="EY24" s="130"/>
      <c r="EZ24" s="133"/>
      <c r="FA24" s="132"/>
      <c r="FB24" s="132"/>
      <c r="FC24" s="132"/>
      <c r="FD24" s="132"/>
      <c r="FE24" s="132"/>
      <c r="FF24" s="129"/>
      <c r="FG24" s="130"/>
      <c r="FH24" s="130"/>
      <c r="FI24" s="130"/>
      <c r="FJ24" s="129"/>
      <c r="FK24" s="130"/>
      <c r="FL24" s="131"/>
      <c r="FM24" s="129"/>
      <c r="FZ24" s="97" t="s">
        <v>149</v>
      </c>
      <c r="HA24" s="97" t="s">
        <v>149</v>
      </c>
    </row>
    <row r="25" spans="1:212">
      <c r="A25" s="95" t="s">
        <v>227</v>
      </c>
      <c r="B25" s="96" t="s">
        <v>230</v>
      </c>
      <c r="C25" s="95">
        <v>1</v>
      </c>
      <c r="D25" s="95">
        <f>COUNTA(E25:KX25)</f>
        <v>8</v>
      </c>
      <c r="E25" s="129"/>
      <c r="F25" s="130"/>
      <c r="G25" s="130"/>
      <c r="H25" s="130"/>
      <c r="I25" s="130"/>
      <c r="J25" s="130"/>
      <c r="K25" s="131"/>
      <c r="L25" s="129"/>
      <c r="M25" s="130"/>
      <c r="N25" s="130"/>
      <c r="O25" s="131"/>
      <c r="P25" s="129"/>
      <c r="Q25" s="130"/>
      <c r="R25" s="130"/>
      <c r="S25" s="130"/>
      <c r="T25" s="130"/>
      <c r="U25" s="131"/>
      <c r="V25" s="129"/>
      <c r="W25" s="130"/>
      <c r="X25" s="130"/>
      <c r="Y25" s="130"/>
      <c r="Z25" s="130"/>
      <c r="AA25" s="130"/>
      <c r="AB25" s="131"/>
      <c r="AC25" s="129"/>
      <c r="AD25" s="130"/>
      <c r="AE25" s="130"/>
      <c r="AF25" s="130"/>
      <c r="AG25" s="130"/>
      <c r="AH25" s="131"/>
      <c r="AI25" s="129"/>
      <c r="AJ25" s="130"/>
      <c r="AK25" s="130"/>
      <c r="AL25" s="130"/>
      <c r="AM25" s="130"/>
      <c r="AN25" s="130"/>
      <c r="AO25" s="131"/>
      <c r="AP25" s="129"/>
      <c r="AQ25" s="130"/>
      <c r="AR25" s="130"/>
      <c r="AS25" s="131"/>
      <c r="AT25" s="129"/>
      <c r="AU25" s="130"/>
      <c r="AV25" s="130"/>
      <c r="AW25" s="130"/>
      <c r="AX25" s="130"/>
      <c r="AY25" s="131"/>
      <c r="AZ25" s="129"/>
      <c r="BA25" s="130"/>
      <c r="BB25" s="130"/>
      <c r="BC25" s="130"/>
      <c r="BD25" s="130"/>
      <c r="BE25" s="130"/>
      <c r="BF25" s="131"/>
      <c r="BG25" s="129"/>
      <c r="BH25" s="130"/>
      <c r="BI25" s="130"/>
      <c r="BJ25" s="130"/>
      <c r="BK25" s="131"/>
      <c r="BL25" s="129"/>
      <c r="BM25" s="130"/>
      <c r="BN25" s="130"/>
      <c r="BO25" s="130"/>
      <c r="BP25" s="130"/>
      <c r="BQ25" s="130"/>
      <c r="BR25" s="130"/>
      <c r="BS25" s="131"/>
      <c r="BT25" s="132"/>
      <c r="BU25" s="132"/>
      <c r="BV25" s="132"/>
      <c r="BW25" s="132"/>
      <c r="BX25" s="132"/>
      <c r="BY25" s="129"/>
      <c r="BZ25" s="130"/>
      <c r="CA25" s="130"/>
      <c r="CB25" s="130"/>
      <c r="CC25" s="130"/>
      <c r="CD25" s="131"/>
      <c r="CE25" s="132"/>
      <c r="CF25" s="132"/>
      <c r="CG25" s="132"/>
      <c r="CH25" s="132"/>
      <c r="CI25" s="132"/>
      <c r="CJ25" s="129"/>
      <c r="CK25" s="130"/>
      <c r="CL25" s="131"/>
      <c r="CM25" s="132"/>
      <c r="CN25" s="132"/>
      <c r="CO25" s="132"/>
      <c r="CP25" s="129"/>
      <c r="CQ25" s="130"/>
      <c r="CR25" s="130"/>
      <c r="CS25" s="130"/>
      <c r="CT25" s="131"/>
      <c r="CU25" s="129"/>
      <c r="CV25" s="130"/>
      <c r="CW25" s="130"/>
      <c r="CX25" s="130"/>
      <c r="CY25" s="130"/>
      <c r="CZ25" s="131"/>
      <c r="DA25" s="129"/>
      <c r="DB25" s="130"/>
      <c r="DC25" s="130"/>
      <c r="DD25" s="130"/>
      <c r="DE25" s="131"/>
      <c r="DF25" s="129"/>
      <c r="DG25" s="130"/>
      <c r="DH25" s="130"/>
      <c r="DI25" s="130"/>
      <c r="DJ25" s="130"/>
      <c r="DK25" s="131"/>
      <c r="DL25" s="129"/>
      <c r="DM25" s="130"/>
      <c r="DN25" s="130"/>
      <c r="DO25" s="130"/>
      <c r="DP25" s="130"/>
      <c r="DQ25" s="131"/>
      <c r="DR25" s="129"/>
      <c r="DS25" s="130"/>
      <c r="DT25" s="130"/>
      <c r="DU25" s="130"/>
      <c r="DV25" s="130"/>
      <c r="DW25" s="131"/>
      <c r="DX25" s="129"/>
      <c r="DY25" s="130"/>
      <c r="DZ25" s="130"/>
      <c r="EA25" s="130"/>
      <c r="EB25" s="130"/>
      <c r="EC25" s="131"/>
      <c r="ED25" s="129"/>
      <c r="EE25" s="130"/>
      <c r="EF25" s="130"/>
      <c r="EG25" s="130"/>
      <c r="EH25" s="130"/>
      <c r="EI25" s="130"/>
      <c r="EJ25" s="129"/>
      <c r="EK25" s="130"/>
      <c r="EL25" s="130"/>
      <c r="EM25" s="130"/>
      <c r="EN25" s="130"/>
      <c r="EO25" s="130"/>
      <c r="EP25" s="130"/>
      <c r="EQ25" s="130"/>
      <c r="ER25" s="130"/>
      <c r="ES25" s="130"/>
      <c r="ET25" s="130"/>
      <c r="EU25" s="130"/>
      <c r="EV25" s="130"/>
      <c r="EW25" s="130"/>
      <c r="EX25" s="130"/>
      <c r="EY25" s="130"/>
      <c r="EZ25" s="133" t="s">
        <v>149</v>
      </c>
      <c r="FA25" s="132"/>
      <c r="FB25" s="132"/>
      <c r="FC25" s="132"/>
      <c r="FD25" s="132"/>
      <c r="FE25" s="132"/>
      <c r="FF25" s="129"/>
      <c r="FG25" s="130"/>
      <c r="FH25" s="130"/>
      <c r="FI25" s="130" t="s">
        <v>217</v>
      </c>
      <c r="FJ25" s="129" t="s">
        <v>217</v>
      </c>
      <c r="FK25" s="130" t="s">
        <v>217</v>
      </c>
      <c r="FL25" s="131"/>
      <c r="FM25" s="129" t="s">
        <v>217</v>
      </c>
      <c r="FN25" s="130" t="s">
        <v>217</v>
      </c>
      <c r="FQ25" s="97" t="s">
        <v>217</v>
      </c>
      <c r="FR25" s="129" t="s">
        <v>217</v>
      </c>
    </row>
    <row r="26" spans="1:212">
      <c r="A26" s="95" t="s">
        <v>227</v>
      </c>
      <c r="B26" s="96" t="s">
        <v>231</v>
      </c>
      <c r="C26" s="95">
        <v>0</v>
      </c>
      <c r="D26" s="95">
        <f>COUNTA(E26:KX26)</f>
        <v>111</v>
      </c>
      <c r="E26" s="129" t="s">
        <v>217</v>
      </c>
      <c r="F26" s="130" t="s">
        <v>217</v>
      </c>
      <c r="G26" s="130" t="s">
        <v>217</v>
      </c>
      <c r="H26" s="130" t="s">
        <v>217</v>
      </c>
      <c r="I26" s="130" t="s">
        <v>217</v>
      </c>
      <c r="J26" s="130" t="s">
        <v>217</v>
      </c>
      <c r="K26" s="131" t="s">
        <v>217</v>
      </c>
      <c r="L26" s="129" t="s">
        <v>217</v>
      </c>
      <c r="M26" s="130" t="s">
        <v>217</v>
      </c>
      <c r="N26" s="130" t="s">
        <v>217</v>
      </c>
      <c r="O26" s="131" t="s">
        <v>217</v>
      </c>
      <c r="P26" s="129" t="s">
        <v>217</v>
      </c>
      <c r="Q26" s="130" t="s">
        <v>217</v>
      </c>
      <c r="R26" s="130" t="s">
        <v>217</v>
      </c>
      <c r="S26" s="130" t="s">
        <v>217</v>
      </c>
      <c r="T26" s="130" t="s">
        <v>217</v>
      </c>
      <c r="U26" s="131" t="s">
        <v>217</v>
      </c>
      <c r="V26" s="129" t="s">
        <v>217</v>
      </c>
      <c r="W26" s="130" t="s">
        <v>217</v>
      </c>
      <c r="X26" s="130" t="s">
        <v>217</v>
      </c>
      <c r="Y26" s="130" t="s">
        <v>217</v>
      </c>
      <c r="Z26" s="130" t="s">
        <v>217</v>
      </c>
      <c r="AA26" s="130" t="s">
        <v>217</v>
      </c>
      <c r="AB26" s="131" t="s">
        <v>217</v>
      </c>
      <c r="AC26" s="129" t="s">
        <v>217</v>
      </c>
      <c r="AD26" s="130" t="s">
        <v>217</v>
      </c>
      <c r="AE26" s="130"/>
      <c r="AF26" s="130" t="s">
        <v>217</v>
      </c>
      <c r="AG26" s="130" t="s">
        <v>217</v>
      </c>
      <c r="AH26" s="131" t="s">
        <v>217</v>
      </c>
      <c r="AI26" s="129" t="s">
        <v>217</v>
      </c>
      <c r="AJ26" s="130" t="s">
        <v>217</v>
      </c>
      <c r="AK26" s="130" t="s">
        <v>217</v>
      </c>
      <c r="AL26" s="130" t="s">
        <v>217</v>
      </c>
      <c r="AM26" s="130" t="s">
        <v>217</v>
      </c>
      <c r="AN26" s="130" t="s">
        <v>217</v>
      </c>
      <c r="AO26" s="131" t="s">
        <v>217</v>
      </c>
      <c r="AP26" s="129" t="s">
        <v>217</v>
      </c>
      <c r="AQ26" s="130" t="s">
        <v>217</v>
      </c>
      <c r="AR26" s="130" t="s">
        <v>217</v>
      </c>
      <c r="AS26" s="131" t="s">
        <v>217</v>
      </c>
      <c r="AT26" s="129" t="s">
        <v>217</v>
      </c>
      <c r="AU26" s="130" t="s">
        <v>217</v>
      </c>
      <c r="AV26" s="130" t="s">
        <v>217</v>
      </c>
      <c r="AW26" s="130" t="s">
        <v>217</v>
      </c>
      <c r="AX26" s="130" t="s">
        <v>217</v>
      </c>
      <c r="AY26" s="131" t="s">
        <v>217</v>
      </c>
      <c r="AZ26" s="129" t="s">
        <v>217</v>
      </c>
      <c r="BA26" s="130" t="s">
        <v>217</v>
      </c>
      <c r="BB26" s="130" t="s">
        <v>217</v>
      </c>
      <c r="BC26" s="130" t="s">
        <v>217</v>
      </c>
      <c r="BD26" s="130" t="s">
        <v>217</v>
      </c>
      <c r="BE26" s="130" t="s">
        <v>217</v>
      </c>
      <c r="BF26" s="131" t="s">
        <v>217</v>
      </c>
      <c r="BG26" s="129" t="s">
        <v>217</v>
      </c>
      <c r="BH26" s="130" t="s">
        <v>217</v>
      </c>
      <c r="BI26" s="130" t="s">
        <v>217</v>
      </c>
      <c r="BJ26" s="130" t="s">
        <v>217</v>
      </c>
      <c r="BK26" s="131" t="s">
        <v>217</v>
      </c>
      <c r="BL26" s="129" t="s">
        <v>217</v>
      </c>
      <c r="BM26" s="130" t="s">
        <v>217</v>
      </c>
      <c r="BN26" s="130" t="s">
        <v>217</v>
      </c>
      <c r="BO26" s="130" t="s">
        <v>217</v>
      </c>
      <c r="BP26" s="130" t="s">
        <v>217</v>
      </c>
      <c r="BQ26" s="130" t="s">
        <v>217</v>
      </c>
      <c r="BR26" s="130" t="s">
        <v>217</v>
      </c>
      <c r="BS26" s="131" t="s">
        <v>217</v>
      </c>
      <c r="BT26" s="132" t="s">
        <v>217</v>
      </c>
      <c r="BU26" s="132" t="s">
        <v>217</v>
      </c>
      <c r="BV26" s="132" t="s">
        <v>217</v>
      </c>
      <c r="BW26" s="132" t="s">
        <v>217</v>
      </c>
      <c r="BX26" s="132" t="s">
        <v>217</v>
      </c>
      <c r="BY26" s="129" t="s">
        <v>217</v>
      </c>
      <c r="BZ26" s="130" t="s">
        <v>217</v>
      </c>
      <c r="CA26" s="130" t="s">
        <v>217</v>
      </c>
      <c r="CB26" s="130" t="s">
        <v>217</v>
      </c>
      <c r="CC26" s="130" t="s">
        <v>217</v>
      </c>
      <c r="CD26" s="131" t="s">
        <v>217</v>
      </c>
      <c r="CE26" s="132" t="s">
        <v>217</v>
      </c>
      <c r="CF26" s="132" t="s">
        <v>217</v>
      </c>
      <c r="CG26" s="132" t="s">
        <v>217</v>
      </c>
      <c r="CH26" s="132" t="s">
        <v>217</v>
      </c>
      <c r="CI26" s="132" t="s">
        <v>217</v>
      </c>
      <c r="CJ26" s="129" t="s">
        <v>217</v>
      </c>
      <c r="CK26" s="130" t="s">
        <v>217</v>
      </c>
      <c r="CL26" s="131" t="s">
        <v>217</v>
      </c>
      <c r="CM26" s="132" t="s">
        <v>217</v>
      </c>
      <c r="CN26" s="132" t="s">
        <v>217</v>
      </c>
      <c r="CO26" s="132"/>
      <c r="CP26" s="129" t="s">
        <v>217</v>
      </c>
      <c r="CQ26" s="130" t="s">
        <v>217</v>
      </c>
      <c r="CR26" s="130" t="s">
        <v>217</v>
      </c>
      <c r="CS26" s="130" t="s">
        <v>217</v>
      </c>
      <c r="CT26" s="131" t="s">
        <v>217</v>
      </c>
      <c r="CU26" s="129" t="s">
        <v>217</v>
      </c>
      <c r="CV26" s="130" t="s">
        <v>217</v>
      </c>
      <c r="CW26" s="130" t="s">
        <v>217</v>
      </c>
      <c r="CX26" s="130" t="s">
        <v>217</v>
      </c>
      <c r="CY26" s="130" t="s">
        <v>217</v>
      </c>
      <c r="CZ26" s="131" t="s">
        <v>217</v>
      </c>
      <c r="DA26" s="129" t="s">
        <v>217</v>
      </c>
      <c r="DB26" s="130" t="s">
        <v>217</v>
      </c>
      <c r="DC26" s="130" t="s">
        <v>217</v>
      </c>
      <c r="DD26" s="130" t="s">
        <v>217</v>
      </c>
      <c r="DE26" s="131" t="s">
        <v>217</v>
      </c>
      <c r="DF26" s="129"/>
      <c r="DG26" s="130"/>
      <c r="DH26" s="130"/>
      <c r="DI26" s="130"/>
      <c r="DJ26" s="130"/>
      <c r="DK26" s="131"/>
      <c r="DL26" s="129"/>
      <c r="DM26" s="130"/>
      <c r="DN26" s="130"/>
      <c r="DO26" s="130"/>
      <c r="DP26" s="130"/>
      <c r="DQ26" s="131"/>
      <c r="DR26" s="129"/>
      <c r="DS26" s="130"/>
      <c r="DT26" s="130"/>
      <c r="DU26" s="130"/>
      <c r="DV26" s="130"/>
      <c r="DW26" s="131"/>
      <c r="DX26" s="129"/>
      <c r="DY26" s="130"/>
      <c r="DZ26" s="130"/>
      <c r="EA26" s="130"/>
      <c r="EB26" s="130"/>
      <c r="EC26" s="131"/>
      <c r="ED26" s="129"/>
      <c r="EE26" s="130"/>
      <c r="EF26" s="130"/>
      <c r="EG26" s="130"/>
      <c r="EH26" s="130"/>
      <c r="EI26" s="130"/>
      <c r="EJ26" s="129"/>
      <c r="EK26" s="130"/>
      <c r="EL26" s="130"/>
      <c r="EM26" s="130"/>
      <c r="EN26" s="130"/>
      <c r="EO26" s="130"/>
      <c r="EP26" s="130"/>
      <c r="EQ26" s="130"/>
      <c r="ER26" s="130"/>
      <c r="ES26" s="130"/>
      <c r="ET26" s="130"/>
      <c r="EU26" s="130"/>
      <c r="EV26" s="130"/>
      <c r="EW26" s="130"/>
      <c r="EX26" s="130"/>
      <c r="EY26" s="130"/>
      <c r="EZ26" s="133" t="s">
        <v>149</v>
      </c>
      <c r="FA26" s="132" t="s">
        <v>149</v>
      </c>
      <c r="FB26" s="132" t="s">
        <v>149</v>
      </c>
      <c r="FC26" s="132" t="s">
        <v>149</v>
      </c>
      <c r="FD26" s="132" t="s">
        <v>149</v>
      </c>
      <c r="FE26" s="132" t="s">
        <v>149</v>
      </c>
      <c r="FF26" s="129"/>
      <c r="FG26" s="130"/>
      <c r="FH26" s="130"/>
      <c r="FI26" s="130"/>
      <c r="FJ26" s="129"/>
      <c r="FK26" s="130"/>
      <c r="FL26" s="131"/>
      <c r="FM26" s="129"/>
      <c r="FT26" s="97" t="s">
        <v>149</v>
      </c>
      <c r="FV26" s="98" t="s">
        <v>149</v>
      </c>
    </row>
    <row r="27" spans="1:212" ht="30">
      <c r="A27" s="95" t="s">
        <v>232</v>
      </c>
      <c r="B27" s="96" t="s">
        <v>233</v>
      </c>
      <c r="C27" s="95">
        <v>1</v>
      </c>
      <c r="D27" s="95">
        <f>COUNTA(E27:KX27)</f>
        <v>2</v>
      </c>
      <c r="E27" s="129"/>
      <c r="F27" s="130"/>
      <c r="G27" s="130"/>
      <c r="H27" s="130"/>
      <c r="I27" s="130"/>
      <c r="J27" s="130"/>
      <c r="K27" s="131"/>
      <c r="L27" s="129"/>
      <c r="M27" s="130"/>
      <c r="N27" s="130"/>
      <c r="O27" s="131"/>
      <c r="P27" s="129"/>
      <c r="Q27" s="130"/>
      <c r="R27" s="130"/>
      <c r="S27" s="130"/>
      <c r="T27" s="130"/>
      <c r="U27" s="131"/>
      <c r="V27" s="129"/>
      <c r="W27" s="130"/>
      <c r="X27" s="130"/>
      <c r="Y27" s="130"/>
      <c r="Z27" s="130"/>
      <c r="AA27" s="130"/>
      <c r="AB27" s="131"/>
      <c r="AC27" s="129"/>
      <c r="AD27" s="130"/>
      <c r="AE27" s="130"/>
      <c r="AF27" s="130"/>
      <c r="AG27" s="130"/>
      <c r="AH27" s="131"/>
      <c r="AI27" s="129"/>
      <c r="AJ27" s="130"/>
      <c r="AK27" s="130"/>
      <c r="AL27" s="130"/>
      <c r="AM27" s="130"/>
      <c r="AN27" s="130"/>
      <c r="AO27" s="131"/>
      <c r="AP27" s="129"/>
      <c r="AQ27" s="130"/>
      <c r="AR27" s="130"/>
      <c r="AS27" s="131"/>
      <c r="AT27" s="129"/>
      <c r="AU27" s="130"/>
      <c r="AV27" s="130"/>
      <c r="AW27" s="130"/>
      <c r="AX27" s="130"/>
      <c r="AY27" s="131"/>
      <c r="AZ27" s="129"/>
      <c r="BA27" s="130"/>
      <c r="BB27" s="130"/>
      <c r="BC27" s="130"/>
      <c r="BD27" s="130"/>
      <c r="BE27" s="130"/>
      <c r="BF27" s="131"/>
      <c r="BG27" s="129"/>
      <c r="BH27" s="130"/>
      <c r="BI27" s="130"/>
      <c r="BJ27" s="130"/>
      <c r="BK27" s="131"/>
      <c r="BL27" s="129"/>
      <c r="BM27" s="130"/>
      <c r="BN27" s="130"/>
      <c r="BO27" s="130"/>
      <c r="BP27" s="130"/>
      <c r="BQ27" s="130"/>
      <c r="BR27" s="130"/>
      <c r="BS27" s="131"/>
      <c r="BT27" s="132"/>
      <c r="BU27" s="132"/>
      <c r="BV27" s="132"/>
      <c r="BW27" s="132"/>
      <c r="BX27" s="132"/>
      <c r="BY27" s="129"/>
      <c r="BZ27" s="130"/>
      <c r="CA27" s="130"/>
      <c r="CB27" s="130"/>
      <c r="CC27" s="130"/>
      <c r="CD27" s="131"/>
      <c r="CE27" s="132"/>
      <c r="CF27" s="132"/>
      <c r="CG27" s="132"/>
      <c r="CH27" s="132"/>
      <c r="CI27" s="132"/>
      <c r="CJ27" s="129"/>
      <c r="CK27" s="130"/>
      <c r="CL27" s="131"/>
      <c r="CM27" s="132"/>
      <c r="CN27" s="132"/>
      <c r="CO27" s="132"/>
      <c r="CP27" s="129"/>
      <c r="CQ27" s="130"/>
      <c r="CR27" s="130"/>
      <c r="CS27" s="130"/>
      <c r="CT27" s="131"/>
      <c r="CU27" s="129"/>
      <c r="CV27" s="130"/>
      <c r="CW27" s="130"/>
      <c r="CX27" s="130"/>
      <c r="CY27" s="130"/>
      <c r="CZ27" s="131"/>
      <c r="DA27" s="129"/>
      <c r="DB27" s="130"/>
      <c r="DC27" s="130"/>
      <c r="DD27" s="130"/>
      <c r="DE27" s="131"/>
      <c r="DF27" s="129"/>
      <c r="DG27" s="130"/>
      <c r="DH27" s="130"/>
      <c r="DI27" s="130"/>
      <c r="DJ27" s="130"/>
      <c r="DK27" s="131"/>
      <c r="DL27" s="129"/>
      <c r="DM27" s="130"/>
      <c r="DN27" s="130"/>
      <c r="DO27" s="130"/>
      <c r="DP27" s="130"/>
      <c r="DQ27" s="131"/>
      <c r="DR27" s="129"/>
      <c r="DS27" s="130"/>
      <c r="DT27" s="130"/>
      <c r="DU27" s="130"/>
      <c r="DV27" s="130"/>
      <c r="DW27" s="131"/>
      <c r="DX27" s="129"/>
      <c r="DY27" s="130"/>
      <c r="DZ27" s="130"/>
      <c r="EA27" s="130"/>
      <c r="EB27" s="130"/>
      <c r="EC27" s="131"/>
      <c r="ED27" s="129"/>
      <c r="EE27" s="130"/>
      <c r="EF27" s="130"/>
      <c r="EG27" s="130"/>
      <c r="EH27" s="130"/>
      <c r="EI27" s="130"/>
      <c r="EJ27" s="129"/>
      <c r="EK27" s="130"/>
      <c r="EL27" s="130"/>
      <c r="EM27" s="130"/>
      <c r="EN27" s="130"/>
      <c r="EO27" s="130"/>
      <c r="EP27" s="130"/>
      <c r="EQ27" s="130"/>
      <c r="ER27" s="130"/>
      <c r="ES27" s="130"/>
      <c r="ET27" s="130"/>
      <c r="EU27" s="130"/>
      <c r="EV27" s="130"/>
      <c r="EW27" s="130"/>
      <c r="EX27" s="130"/>
      <c r="EY27" s="130"/>
      <c r="EZ27" s="133"/>
      <c r="FA27" s="132"/>
      <c r="FB27" s="132"/>
      <c r="FC27" s="132"/>
      <c r="FD27" s="132"/>
      <c r="FE27" s="132"/>
      <c r="FF27" s="129" t="s">
        <v>217</v>
      </c>
      <c r="FG27" s="130" t="s">
        <v>217</v>
      </c>
      <c r="FH27" s="130"/>
      <c r="FI27" s="130"/>
      <c r="FJ27" s="129"/>
      <c r="FK27" s="130"/>
      <c r="FL27" s="131"/>
      <c r="FM27" s="129"/>
    </row>
    <row r="28" spans="1:212">
      <c r="A28" s="95" t="s">
        <v>234</v>
      </c>
      <c r="B28" s="96" t="s">
        <v>235</v>
      </c>
      <c r="C28" s="95">
        <v>2</v>
      </c>
      <c r="D28" s="95">
        <f>COUNTA(E28:KX28)</f>
        <v>0</v>
      </c>
      <c r="E28" s="129"/>
      <c r="F28" s="130"/>
      <c r="G28" s="130"/>
      <c r="H28" s="130"/>
      <c r="I28" s="130"/>
      <c r="J28" s="130"/>
      <c r="K28" s="131"/>
      <c r="L28" s="129"/>
      <c r="M28" s="130"/>
      <c r="N28" s="130"/>
      <c r="O28" s="131"/>
      <c r="P28" s="129"/>
      <c r="Q28" s="130"/>
      <c r="R28" s="130"/>
      <c r="S28" s="130"/>
      <c r="T28" s="130"/>
      <c r="U28" s="131"/>
      <c r="V28" s="129"/>
      <c r="W28" s="130"/>
      <c r="X28" s="130"/>
      <c r="Y28" s="130"/>
      <c r="Z28" s="130"/>
      <c r="AA28" s="130"/>
      <c r="AB28" s="131"/>
      <c r="AC28" s="129"/>
      <c r="AD28" s="130"/>
      <c r="AE28" s="130"/>
      <c r="AF28" s="130"/>
      <c r="AG28" s="130"/>
      <c r="AH28" s="131"/>
      <c r="AI28" s="129"/>
      <c r="AJ28" s="130"/>
      <c r="AK28" s="130"/>
      <c r="AL28" s="130"/>
      <c r="AM28" s="130"/>
      <c r="AN28" s="130"/>
      <c r="AO28" s="131"/>
      <c r="AP28" s="129"/>
      <c r="AQ28" s="130"/>
      <c r="AR28" s="130"/>
      <c r="AS28" s="131"/>
      <c r="AT28" s="129"/>
      <c r="AU28" s="130"/>
      <c r="AV28" s="130"/>
      <c r="AW28" s="130"/>
      <c r="AX28" s="130"/>
      <c r="AY28" s="131"/>
      <c r="AZ28" s="129"/>
      <c r="BA28" s="130"/>
      <c r="BB28" s="130"/>
      <c r="BC28" s="130"/>
      <c r="BD28" s="130"/>
      <c r="BE28" s="130"/>
      <c r="BF28" s="131"/>
      <c r="BG28" s="129"/>
      <c r="BH28" s="130"/>
      <c r="BI28" s="130"/>
      <c r="BJ28" s="130"/>
      <c r="BK28" s="131"/>
      <c r="BL28" s="129"/>
      <c r="BM28" s="130"/>
      <c r="BN28" s="130"/>
      <c r="BO28" s="130"/>
      <c r="BP28" s="130"/>
      <c r="BQ28" s="130"/>
      <c r="BR28" s="130"/>
      <c r="BS28" s="131"/>
      <c r="BT28" s="132"/>
      <c r="BU28" s="132"/>
      <c r="BV28" s="132"/>
      <c r="BW28" s="132"/>
      <c r="BX28" s="132"/>
      <c r="BY28" s="129"/>
      <c r="BZ28" s="130"/>
      <c r="CA28" s="130"/>
      <c r="CB28" s="130"/>
      <c r="CC28" s="130"/>
      <c r="CD28" s="131"/>
      <c r="CE28" s="132"/>
      <c r="CF28" s="132"/>
      <c r="CG28" s="132"/>
      <c r="CH28" s="132"/>
      <c r="CI28" s="132"/>
      <c r="CJ28" s="129"/>
      <c r="CK28" s="130"/>
      <c r="CL28" s="131"/>
      <c r="CM28" s="132"/>
      <c r="CN28" s="132"/>
      <c r="CO28" s="132"/>
      <c r="CP28" s="129"/>
      <c r="CQ28" s="130"/>
      <c r="CR28" s="130"/>
      <c r="CS28" s="130"/>
      <c r="CT28" s="131"/>
      <c r="CU28" s="129"/>
      <c r="CV28" s="130"/>
      <c r="CW28" s="130"/>
      <c r="CX28" s="130"/>
      <c r="CY28" s="130"/>
      <c r="CZ28" s="131"/>
      <c r="DA28" s="129"/>
      <c r="DB28" s="130"/>
      <c r="DC28" s="130"/>
      <c r="DD28" s="130"/>
      <c r="DE28" s="131"/>
      <c r="DF28" s="129"/>
      <c r="DG28" s="130"/>
      <c r="DH28" s="130"/>
      <c r="DI28" s="130"/>
      <c r="DJ28" s="130"/>
      <c r="DK28" s="131"/>
      <c r="DL28" s="129"/>
      <c r="DM28" s="130"/>
      <c r="DN28" s="130"/>
      <c r="DO28" s="130"/>
      <c r="DP28" s="130"/>
      <c r="DQ28" s="131"/>
      <c r="DR28" s="129"/>
      <c r="DS28" s="130"/>
      <c r="DT28" s="130"/>
      <c r="DU28" s="130"/>
      <c r="DV28" s="130"/>
      <c r="DW28" s="131"/>
      <c r="DX28" s="129"/>
      <c r="DY28" s="130"/>
      <c r="DZ28" s="130"/>
      <c r="EA28" s="130"/>
      <c r="EB28" s="130"/>
      <c r="EC28" s="131"/>
      <c r="ED28" s="129"/>
      <c r="EE28" s="130"/>
      <c r="EF28" s="130"/>
      <c r="EG28" s="130"/>
      <c r="EH28" s="130"/>
      <c r="EI28" s="130"/>
      <c r="EJ28" s="129"/>
      <c r="EK28" s="130"/>
      <c r="EL28" s="130"/>
      <c r="EM28" s="130"/>
      <c r="EN28" s="130"/>
      <c r="EO28" s="130"/>
      <c r="EP28" s="130"/>
      <c r="EQ28" s="130"/>
      <c r="ER28" s="130"/>
      <c r="ES28" s="130"/>
      <c r="ET28" s="130"/>
      <c r="EU28" s="130"/>
      <c r="EV28" s="130"/>
      <c r="EW28" s="130"/>
      <c r="EX28" s="130"/>
      <c r="EY28" s="130"/>
      <c r="EZ28" s="133"/>
      <c r="FA28" s="132"/>
      <c r="FB28" s="132"/>
      <c r="FC28" s="132"/>
      <c r="FD28" s="132"/>
      <c r="FE28" s="132"/>
      <c r="FF28" s="129"/>
      <c r="FG28" s="130"/>
      <c r="FH28" s="130"/>
      <c r="FI28" s="130"/>
      <c r="FJ28" s="129"/>
      <c r="FK28" s="130"/>
      <c r="FL28" s="131"/>
      <c r="FM28" s="129"/>
    </row>
    <row r="29" spans="1:212">
      <c r="A29" s="95" t="s">
        <v>234</v>
      </c>
      <c r="B29" s="96" t="s">
        <v>236</v>
      </c>
      <c r="C29" s="95">
        <v>2</v>
      </c>
      <c r="D29" s="95">
        <f>COUNTA(E29:KX29)</f>
        <v>0</v>
      </c>
      <c r="E29" s="129"/>
      <c r="F29" s="130"/>
      <c r="G29" s="130"/>
      <c r="H29" s="130"/>
      <c r="I29" s="130"/>
      <c r="J29" s="130"/>
      <c r="K29" s="131"/>
      <c r="L29" s="129"/>
      <c r="M29" s="130"/>
      <c r="N29" s="130"/>
      <c r="O29" s="131"/>
      <c r="P29" s="129"/>
      <c r="Q29" s="130"/>
      <c r="R29" s="130"/>
      <c r="S29" s="130"/>
      <c r="T29" s="130"/>
      <c r="U29" s="131"/>
      <c r="V29" s="129"/>
      <c r="W29" s="130"/>
      <c r="X29" s="130"/>
      <c r="Y29" s="130"/>
      <c r="Z29" s="130"/>
      <c r="AA29" s="130"/>
      <c r="AB29" s="131"/>
      <c r="AC29" s="129"/>
      <c r="AD29" s="130"/>
      <c r="AE29" s="130"/>
      <c r="AF29" s="130"/>
      <c r="AG29" s="130"/>
      <c r="AH29" s="131"/>
      <c r="AI29" s="129"/>
      <c r="AJ29" s="130"/>
      <c r="AK29" s="130"/>
      <c r="AL29" s="130"/>
      <c r="AM29" s="130"/>
      <c r="AN29" s="130"/>
      <c r="AO29" s="131"/>
      <c r="AP29" s="129"/>
      <c r="AQ29" s="130"/>
      <c r="AR29" s="130"/>
      <c r="AS29" s="131"/>
      <c r="AT29" s="129"/>
      <c r="AU29" s="130"/>
      <c r="AV29" s="130"/>
      <c r="AW29" s="130"/>
      <c r="AX29" s="130"/>
      <c r="AY29" s="131"/>
      <c r="AZ29" s="129"/>
      <c r="BA29" s="130"/>
      <c r="BB29" s="130"/>
      <c r="BC29" s="130"/>
      <c r="BD29" s="130"/>
      <c r="BE29" s="130"/>
      <c r="BF29" s="131"/>
      <c r="BG29" s="129"/>
      <c r="BH29" s="130"/>
      <c r="BI29" s="130"/>
      <c r="BJ29" s="130"/>
      <c r="BK29" s="131"/>
      <c r="BL29" s="129"/>
      <c r="BM29" s="130"/>
      <c r="BN29" s="130"/>
      <c r="BO29" s="130"/>
      <c r="BP29" s="130"/>
      <c r="BQ29" s="130"/>
      <c r="BR29" s="130"/>
      <c r="BS29" s="131"/>
      <c r="BT29" s="132"/>
      <c r="BU29" s="132"/>
      <c r="BV29" s="132"/>
      <c r="BW29" s="132"/>
      <c r="BX29" s="132"/>
      <c r="BY29" s="129"/>
      <c r="BZ29" s="130"/>
      <c r="CA29" s="130"/>
      <c r="CB29" s="130"/>
      <c r="CC29" s="130"/>
      <c r="CD29" s="131"/>
      <c r="CE29" s="132"/>
      <c r="CF29" s="132"/>
      <c r="CG29" s="132"/>
      <c r="CH29" s="132"/>
      <c r="CI29" s="132"/>
      <c r="CJ29" s="129"/>
      <c r="CK29" s="130"/>
      <c r="CL29" s="131"/>
      <c r="CM29" s="132"/>
      <c r="CN29" s="132"/>
      <c r="CO29" s="132"/>
      <c r="CP29" s="129"/>
      <c r="CQ29" s="130"/>
      <c r="CR29" s="130"/>
      <c r="CS29" s="130"/>
      <c r="CT29" s="131"/>
      <c r="CU29" s="129"/>
      <c r="CV29" s="130"/>
      <c r="CW29" s="130"/>
      <c r="CX29" s="130"/>
      <c r="CY29" s="130"/>
      <c r="CZ29" s="131"/>
      <c r="DA29" s="129"/>
      <c r="DB29" s="130"/>
      <c r="DC29" s="130"/>
      <c r="DD29" s="130"/>
      <c r="DE29" s="131"/>
      <c r="DF29" s="129"/>
      <c r="DG29" s="130"/>
      <c r="DH29" s="130"/>
      <c r="DI29" s="130"/>
      <c r="DJ29" s="130"/>
      <c r="DK29" s="131"/>
      <c r="DL29" s="129"/>
      <c r="DM29" s="130"/>
      <c r="DN29" s="130"/>
      <c r="DO29" s="130"/>
      <c r="DP29" s="130"/>
      <c r="DQ29" s="131"/>
      <c r="DR29" s="129"/>
      <c r="DS29" s="130"/>
      <c r="DT29" s="130"/>
      <c r="DU29" s="130"/>
      <c r="DV29" s="130"/>
      <c r="DW29" s="131"/>
      <c r="DX29" s="129"/>
      <c r="DY29" s="130"/>
      <c r="DZ29" s="130"/>
      <c r="EA29" s="130"/>
      <c r="EB29" s="130"/>
      <c r="EC29" s="131"/>
      <c r="ED29" s="129"/>
      <c r="EE29" s="130"/>
      <c r="EF29" s="130"/>
      <c r="EG29" s="130"/>
      <c r="EH29" s="130"/>
      <c r="EI29" s="130"/>
      <c r="EJ29" s="129"/>
      <c r="EK29" s="130"/>
      <c r="EL29" s="130"/>
      <c r="EM29" s="130"/>
      <c r="EN29" s="130"/>
      <c r="EO29" s="130"/>
      <c r="EP29" s="130"/>
      <c r="EQ29" s="130"/>
      <c r="ER29" s="130"/>
      <c r="ES29" s="130"/>
      <c r="ET29" s="130"/>
      <c r="EU29" s="130"/>
      <c r="EV29" s="130"/>
      <c r="EW29" s="130"/>
      <c r="EX29" s="130"/>
      <c r="EY29" s="130"/>
      <c r="EZ29" s="133"/>
      <c r="FA29" s="132"/>
      <c r="FB29" s="132"/>
      <c r="FC29" s="132"/>
      <c r="FD29" s="132"/>
      <c r="FE29" s="132"/>
      <c r="FF29" s="129"/>
      <c r="FG29" s="130"/>
      <c r="FH29" s="130"/>
      <c r="FI29" s="130"/>
      <c r="FJ29" s="129"/>
      <c r="FK29" s="130"/>
      <c r="FL29" s="131"/>
      <c r="FM29" s="129"/>
    </row>
    <row r="30" spans="1:212">
      <c r="A30" s="95" t="s">
        <v>234</v>
      </c>
      <c r="B30" s="96" t="s">
        <v>237</v>
      </c>
      <c r="C30" s="95">
        <v>2</v>
      </c>
      <c r="D30" s="95">
        <f>COUNTA(E30:KX30)</f>
        <v>0</v>
      </c>
      <c r="E30" s="129"/>
      <c r="F30" s="130"/>
      <c r="G30" s="130"/>
      <c r="H30" s="130"/>
      <c r="I30" s="130"/>
      <c r="J30" s="130"/>
      <c r="K30" s="131"/>
      <c r="L30" s="129"/>
      <c r="M30" s="130"/>
      <c r="N30" s="130"/>
      <c r="O30" s="131"/>
      <c r="P30" s="129"/>
      <c r="Q30" s="130"/>
      <c r="R30" s="130"/>
      <c r="S30" s="130"/>
      <c r="T30" s="130"/>
      <c r="U30" s="131"/>
      <c r="V30" s="129"/>
      <c r="W30" s="130"/>
      <c r="X30" s="130"/>
      <c r="Y30" s="130"/>
      <c r="Z30" s="130"/>
      <c r="AA30" s="130"/>
      <c r="AB30" s="131"/>
      <c r="AC30" s="129"/>
      <c r="AD30" s="130"/>
      <c r="AE30" s="130"/>
      <c r="AF30" s="130"/>
      <c r="AG30" s="130"/>
      <c r="AH30" s="131"/>
      <c r="AI30" s="129"/>
      <c r="AJ30" s="130"/>
      <c r="AK30" s="130"/>
      <c r="AL30" s="130"/>
      <c r="AM30" s="130"/>
      <c r="AN30" s="130"/>
      <c r="AO30" s="131"/>
      <c r="AP30" s="129"/>
      <c r="AQ30" s="130"/>
      <c r="AR30" s="130"/>
      <c r="AS30" s="131"/>
      <c r="AT30" s="129"/>
      <c r="AU30" s="130"/>
      <c r="AV30" s="130"/>
      <c r="AW30" s="130"/>
      <c r="AX30" s="130"/>
      <c r="AY30" s="131"/>
      <c r="AZ30" s="129"/>
      <c r="BA30" s="130"/>
      <c r="BB30" s="130"/>
      <c r="BC30" s="130"/>
      <c r="BD30" s="130"/>
      <c r="BE30" s="130"/>
      <c r="BF30" s="131"/>
      <c r="BG30" s="129"/>
      <c r="BH30" s="130"/>
      <c r="BI30" s="130"/>
      <c r="BJ30" s="130"/>
      <c r="BK30" s="131"/>
      <c r="BL30" s="129"/>
      <c r="BM30" s="130"/>
      <c r="BN30" s="130"/>
      <c r="BO30" s="130"/>
      <c r="BP30" s="130"/>
      <c r="BQ30" s="130"/>
      <c r="BR30" s="130"/>
      <c r="BS30" s="131"/>
      <c r="BT30" s="132"/>
      <c r="BU30" s="132"/>
      <c r="BV30" s="132"/>
      <c r="BW30" s="132"/>
      <c r="BX30" s="132"/>
      <c r="BY30" s="129"/>
      <c r="BZ30" s="130"/>
      <c r="CA30" s="130"/>
      <c r="CB30" s="130"/>
      <c r="CC30" s="130"/>
      <c r="CD30" s="131"/>
      <c r="CE30" s="132"/>
      <c r="CF30" s="132"/>
      <c r="CG30" s="132"/>
      <c r="CH30" s="132"/>
      <c r="CI30" s="132"/>
      <c r="CJ30" s="129"/>
      <c r="CK30" s="130"/>
      <c r="CL30" s="131"/>
      <c r="CM30" s="132"/>
      <c r="CN30" s="132"/>
      <c r="CO30" s="132"/>
      <c r="CP30" s="129"/>
      <c r="CQ30" s="130"/>
      <c r="CR30" s="130"/>
      <c r="CS30" s="130"/>
      <c r="CT30" s="131"/>
      <c r="CU30" s="129"/>
      <c r="CV30" s="130"/>
      <c r="CW30" s="130"/>
      <c r="CX30" s="130"/>
      <c r="CY30" s="130"/>
      <c r="CZ30" s="131"/>
      <c r="DA30" s="129"/>
      <c r="DB30" s="130"/>
      <c r="DC30" s="130"/>
      <c r="DD30" s="130"/>
      <c r="DE30" s="131"/>
      <c r="DF30" s="129"/>
      <c r="DG30" s="130"/>
      <c r="DH30" s="130"/>
      <c r="DI30" s="130"/>
      <c r="DJ30" s="130"/>
      <c r="DK30" s="131"/>
      <c r="DL30" s="129"/>
      <c r="DM30" s="130"/>
      <c r="DN30" s="130"/>
      <c r="DO30" s="130"/>
      <c r="DP30" s="130"/>
      <c r="DQ30" s="131"/>
      <c r="DR30" s="129"/>
      <c r="DS30" s="130"/>
      <c r="DT30" s="130"/>
      <c r="DU30" s="130"/>
      <c r="DV30" s="130"/>
      <c r="DW30" s="131"/>
      <c r="DX30" s="129"/>
      <c r="DY30" s="130"/>
      <c r="DZ30" s="130"/>
      <c r="EA30" s="130"/>
      <c r="EB30" s="130"/>
      <c r="EC30" s="131"/>
      <c r="ED30" s="129"/>
      <c r="EE30" s="130"/>
      <c r="EF30" s="130"/>
      <c r="EG30" s="130"/>
      <c r="EH30" s="130"/>
      <c r="EI30" s="130"/>
      <c r="EJ30" s="129"/>
      <c r="EK30" s="130"/>
      <c r="EL30" s="130"/>
      <c r="EM30" s="130"/>
      <c r="EN30" s="130"/>
      <c r="EO30" s="130"/>
      <c r="EP30" s="130"/>
      <c r="EQ30" s="130"/>
      <c r="ER30" s="130"/>
      <c r="ES30" s="130"/>
      <c r="ET30" s="130"/>
      <c r="EU30" s="130"/>
      <c r="EV30" s="130"/>
      <c r="EW30" s="130"/>
      <c r="EX30" s="130"/>
      <c r="EY30" s="130"/>
      <c r="EZ30" s="133"/>
      <c r="FA30" s="132"/>
      <c r="FB30" s="132"/>
      <c r="FC30" s="132"/>
      <c r="FD30" s="132"/>
      <c r="FE30" s="132"/>
      <c r="FF30" s="129"/>
      <c r="FG30" s="130"/>
      <c r="FH30" s="130"/>
      <c r="FI30" s="130"/>
      <c r="FJ30" s="129"/>
      <c r="FK30" s="130"/>
      <c r="FL30" s="131"/>
      <c r="FM30" s="129"/>
    </row>
    <row r="31" spans="1:212">
      <c r="A31" s="95" t="s">
        <v>234</v>
      </c>
      <c r="B31" s="96" t="s">
        <v>238</v>
      </c>
      <c r="C31" s="95">
        <v>2</v>
      </c>
      <c r="D31" s="95">
        <f>COUNTA(E31:KX31)</f>
        <v>1</v>
      </c>
      <c r="E31" s="129"/>
      <c r="F31" s="130"/>
      <c r="G31" s="130"/>
      <c r="H31" s="130"/>
      <c r="I31" s="130"/>
      <c r="J31" s="130"/>
      <c r="K31" s="131"/>
      <c r="L31" s="129"/>
      <c r="M31" s="130"/>
      <c r="N31" s="130"/>
      <c r="O31" s="131"/>
      <c r="P31" s="129"/>
      <c r="Q31" s="130"/>
      <c r="R31" s="130"/>
      <c r="S31" s="130"/>
      <c r="T31" s="130"/>
      <c r="U31" s="131"/>
      <c r="V31" s="129"/>
      <c r="W31" s="130"/>
      <c r="X31" s="130"/>
      <c r="Y31" s="130"/>
      <c r="Z31" s="130"/>
      <c r="AA31" s="130"/>
      <c r="AB31" s="131"/>
      <c r="AC31" s="129"/>
      <c r="AD31" s="130"/>
      <c r="AE31" s="130"/>
      <c r="AF31" s="130"/>
      <c r="AG31" s="130"/>
      <c r="AH31" s="131"/>
      <c r="AI31" s="129"/>
      <c r="AJ31" s="130"/>
      <c r="AK31" s="130"/>
      <c r="AL31" s="130"/>
      <c r="AM31" s="130"/>
      <c r="AN31" s="130"/>
      <c r="AO31" s="131"/>
      <c r="AP31" s="129"/>
      <c r="AQ31" s="130"/>
      <c r="AR31" s="130"/>
      <c r="AS31" s="131"/>
      <c r="AT31" s="129"/>
      <c r="AU31" s="130"/>
      <c r="AV31" s="130"/>
      <c r="AW31" s="130"/>
      <c r="AX31" s="130"/>
      <c r="AY31" s="131"/>
      <c r="AZ31" s="129"/>
      <c r="BA31" s="130"/>
      <c r="BB31" s="130"/>
      <c r="BC31" s="130"/>
      <c r="BD31" s="130"/>
      <c r="BE31" s="130"/>
      <c r="BF31" s="131"/>
      <c r="BG31" s="129"/>
      <c r="BH31" s="130"/>
      <c r="BI31" s="130"/>
      <c r="BJ31" s="130"/>
      <c r="BK31" s="131"/>
      <c r="BL31" s="129"/>
      <c r="BM31" s="130"/>
      <c r="BN31" s="130"/>
      <c r="BO31" s="130"/>
      <c r="BP31" s="130"/>
      <c r="BQ31" s="130"/>
      <c r="BR31" s="130"/>
      <c r="BS31" s="131"/>
      <c r="BT31" s="132"/>
      <c r="BU31" s="132"/>
      <c r="BV31" s="132"/>
      <c r="BW31" s="132"/>
      <c r="BX31" s="132"/>
      <c r="BY31" s="129"/>
      <c r="BZ31" s="130"/>
      <c r="CA31" s="130"/>
      <c r="CB31" s="130"/>
      <c r="CC31" s="130"/>
      <c r="CD31" s="131"/>
      <c r="CE31" s="132"/>
      <c r="CF31" s="132"/>
      <c r="CG31" s="132"/>
      <c r="CH31" s="132"/>
      <c r="CI31" s="132"/>
      <c r="CJ31" s="129"/>
      <c r="CK31" s="130"/>
      <c r="CL31" s="131"/>
      <c r="CM31" s="132"/>
      <c r="CN31" s="132"/>
      <c r="CO31" s="132"/>
      <c r="CP31" s="129"/>
      <c r="CQ31" s="130"/>
      <c r="CR31" s="130"/>
      <c r="CS31" s="130"/>
      <c r="CT31" s="131"/>
      <c r="CU31" s="129"/>
      <c r="CV31" s="130"/>
      <c r="CW31" s="130"/>
      <c r="CX31" s="130"/>
      <c r="CY31" s="130"/>
      <c r="CZ31" s="131"/>
      <c r="DA31" s="129"/>
      <c r="DB31" s="130"/>
      <c r="DC31" s="130"/>
      <c r="DD31" s="130"/>
      <c r="DE31" s="131"/>
      <c r="DF31" s="129"/>
      <c r="DG31" s="130"/>
      <c r="DH31" s="130"/>
      <c r="DI31" s="130"/>
      <c r="DJ31" s="130"/>
      <c r="DK31" s="131"/>
      <c r="DL31" s="129"/>
      <c r="DM31" s="130"/>
      <c r="DN31" s="130"/>
      <c r="DO31" s="130"/>
      <c r="DP31" s="130"/>
      <c r="DQ31" s="131"/>
      <c r="DR31" s="129"/>
      <c r="DS31" s="130"/>
      <c r="DT31" s="130"/>
      <c r="DU31" s="130"/>
      <c r="DV31" s="130"/>
      <c r="DW31" s="131"/>
      <c r="DX31" s="129"/>
      <c r="DY31" s="130"/>
      <c r="DZ31" s="130"/>
      <c r="EA31" s="130"/>
      <c r="EB31" s="130"/>
      <c r="EC31" s="131"/>
      <c r="ED31" s="129"/>
      <c r="EE31" s="130"/>
      <c r="EF31" s="130"/>
      <c r="EG31" s="130"/>
      <c r="EH31" s="130"/>
      <c r="EI31" s="130"/>
      <c r="EJ31" s="129"/>
      <c r="EK31" s="130"/>
      <c r="EL31" s="130"/>
      <c r="EM31" s="130"/>
      <c r="EN31" s="130"/>
      <c r="EO31" s="130"/>
      <c r="EP31" s="130"/>
      <c r="EQ31" s="130"/>
      <c r="ER31" s="130"/>
      <c r="ES31" s="130"/>
      <c r="ET31" s="130"/>
      <c r="EU31" s="130"/>
      <c r="EV31" s="130"/>
      <c r="EW31" s="130"/>
      <c r="EX31" s="130"/>
      <c r="EY31" s="130"/>
      <c r="EZ31" s="133"/>
      <c r="FA31" s="132"/>
      <c r="FB31" s="132"/>
      <c r="FC31" s="132"/>
      <c r="FD31" s="132"/>
      <c r="FE31" s="132"/>
      <c r="FF31" s="129"/>
      <c r="FG31" s="130"/>
      <c r="FH31" s="130"/>
      <c r="FI31" s="130"/>
      <c r="FJ31" s="129"/>
      <c r="FK31" s="130"/>
      <c r="FL31" s="131"/>
      <c r="FM31" s="129"/>
      <c r="GH31" s="99" t="s">
        <v>149</v>
      </c>
    </row>
    <row r="32" spans="1:212">
      <c r="A32" s="95" t="s">
        <v>239</v>
      </c>
      <c r="B32" s="96" t="s">
        <v>240</v>
      </c>
      <c r="C32" s="95">
        <v>2</v>
      </c>
      <c r="D32" s="95">
        <f>COUNTA(E32:KX32)</f>
        <v>1</v>
      </c>
      <c r="E32" s="129"/>
      <c r="F32" s="130"/>
      <c r="G32" s="130"/>
      <c r="H32" s="130"/>
      <c r="I32" s="130"/>
      <c r="J32" s="130"/>
      <c r="K32" s="131"/>
      <c r="L32" s="129"/>
      <c r="M32" s="130"/>
      <c r="N32" s="130"/>
      <c r="O32" s="131"/>
      <c r="P32" s="129"/>
      <c r="Q32" s="130"/>
      <c r="R32" s="130"/>
      <c r="S32" s="130"/>
      <c r="T32" s="130"/>
      <c r="U32" s="131"/>
      <c r="V32" s="129"/>
      <c r="W32" s="130"/>
      <c r="X32" s="130"/>
      <c r="Y32" s="130"/>
      <c r="Z32" s="130"/>
      <c r="AA32" s="130"/>
      <c r="AB32" s="131"/>
      <c r="AC32" s="129"/>
      <c r="AD32" s="130"/>
      <c r="AE32" s="130"/>
      <c r="AF32" s="130"/>
      <c r="AG32" s="130"/>
      <c r="AH32" s="131"/>
      <c r="AI32" s="129"/>
      <c r="AJ32" s="130"/>
      <c r="AK32" s="130"/>
      <c r="AL32" s="130"/>
      <c r="AM32" s="130"/>
      <c r="AN32" s="130"/>
      <c r="AO32" s="131"/>
      <c r="AP32" s="129"/>
      <c r="AQ32" s="130"/>
      <c r="AR32" s="130"/>
      <c r="AS32" s="131"/>
      <c r="AT32" s="129"/>
      <c r="AU32" s="130"/>
      <c r="AV32" s="130"/>
      <c r="AW32" s="130"/>
      <c r="AX32" s="130"/>
      <c r="AY32" s="131"/>
      <c r="AZ32" s="129"/>
      <c r="BA32" s="130"/>
      <c r="BB32" s="130"/>
      <c r="BC32" s="130"/>
      <c r="BD32" s="130"/>
      <c r="BE32" s="130"/>
      <c r="BF32" s="131"/>
      <c r="BG32" s="129"/>
      <c r="BH32" s="130"/>
      <c r="BI32" s="130"/>
      <c r="BJ32" s="130"/>
      <c r="BK32" s="131"/>
      <c r="BL32" s="129"/>
      <c r="BM32" s="130"/>
      <c r="BN32" s="130"/>
      <c r="BO32" s="130"/>
      <c r="BP32" s="130"/>
      <c r="BQ32" s="130"/>
      <c r="BR32" s="130"/>
      <c r="BS32" s="131"/>
      <c r="BT32" s="132"/>
      <c r="BU32" s="132"/>
      <c r="BV32" s="132"/>
      <c r="BW32" s="132"/>
      <c r="BX32" s="132"/>
      <c r="BY32" s="129"/>
      <c r="BZ32" s="130"/>
      <c r="CA32" s="130"/>
      <c r="CB32" s="130"/>
      <c r="CC32" s="130"/>
      <c r="CD32" s="131"/>
      <c r="CE32" s="132"/>
      <c r="CF32" s="132"/>
      <c r="CG32" s="132"/>
      <c r="CH32" s="132"/>
      <c r="CI32" s="132"/>
      <c r="CJ32" s="129"/>
      <c r="CK32" s="130"/>
      <c r="CL32" s="131"/>
      <c r="CM32" s="132"/>
      <c r="CN32" s="132"/>
      <c r="CO32" s="132"/>
      <c r="CP32" s="129"/>
      <c r="CQ32" s="130"/>
      <c r="CR32" s="130"/>
      <c r="CS32" s="130"/>
      <c r="CT32" s="131"/>
      <c r="CU32" s="129"/>
      <c r="CV32" s="130"/>
      <c r="CW32" s="130"/>
      <c r="CX32" s="130"/>
      <c r="CY32" s="130"/>
      <c r="CZ32" s="131"/>
      <c r="DA32" s="129"/>
      <c r="DB32" s="130"/>
      <c r="DC32" s="130"/>
      <c r="DD32" s="130"/>
      <c r="DE32" s="131"/>
      <c r="DF32" s="129"/>
      <c r="DG32" s="130"/>
      <c r="DH32" s="130"/>
      <c r="DI32" s="130"/>
      <c r="DJ32" s="130"/>
      <c r="DK32" s="131"/>
      <c r="DL32" s="129"/>
      <c r="DM32" s="130"/>
      <c r="DN32" s="130"/>
      <c r="DO32" s="130"/>
      <c r="DP32" s="130"/>
      <c r="DQ32" s="131"/>
      <c r="DR32" s="129"/>
      <c r="DS32" s="130"/>
      <c r="DT32" s="130"/>
      <c r="DU32" s="130"/>
      <c r="DV32" s="130"/>
      <c r="DW32" s="131"/>
      <c r="DX32" s="129"/>
      <c r="DY32" s="130"/>
      <c r="DZ32" s="130"/>
      <c r="EA32" s="130"/>
      <c r="EB32" s="130"/>
      <c r="EC32" s="131"/>
      <c r="ED32" s="129"/>
      <c r="EE32" s="130"/>
      <c r="EF32" s="130"/>
      <c r="EG32" s="130"/>
      <c r="EH32" s="130"/>
      <c r="EI32" s="130"/>
      <c r="EJ32" s="129"/>
      <c r="EK32" s="130"/>
      <c r="EL32" s="130"/>
      <c r="EM32" s="130"/>
      <c r="EN32" s="130"/>
      <c r="EO32" s="130"/>
      <c r="EP32" s="130"/>
      <c r="EQ32" s="130"/>
      <c r="ER32" s="130"/>
      <c r="ES32" s="130"/>
      <c r="ET32" s="130"/>
      <c r="EU32" s="130"/>
      <c r="EV32" s="130"/>
      <c r="EW32" s="130"/>
      <c r="EX32" s="130"/>
      <c r="EY32" s="130"/>
      <c r="EZ32" s="133"/>
      <c r="FA32" s="132"/>
      <c r="FB32" s="132"/>
      <c r="FC32" s="132"/>
      <c r="FD32" s="132"/>
      <c r="FE32" s="132"/>
      <c r="FF32" s="129"/>
      <c r="FG32" s="130"/>
      <c r="FH32" s="130"/>
      <c r="FI32" s="130"/>
      <c r="FJ32" s="129"/>
      <c r="FK32" s="130"/>
      <c r="FL32" s="131"/>
      <c r="FM32" s="129"/>
      <c r="GC32" s="97" t="s">
        <v>149</v>
      </c>
    </row>
    <row r="33" spans="1:189" ht="30">
      <c r="A33" s="95" t="s">
        <v>241</v>
      </c>
      <c r="B33" s="96" t="s">
        <v>242</v>
      </c>
      <c r="C33" s="95">
        <v>1</v>
      </c>
      <c r="D33" s="95">
        <f>COUNTA(E33:KX33)</f>
        <v>1</v>
      </c>
      <c r="E33" s="129"/>
      <c r="F33" s="130"/>
      <c r="G33" s="130"/>
      <c r="H33" s="130"/>
      <c r="I33" s="130"/>
      <c r="J33" s="130"/>
      <c r="K33" s="131"/>
      <c r="L33" s="129"/>
      <c r="M33" s="130"/>
      <c r="N33" s="130"/>
      <c r="O33" s="131"/>
      <c r="P33" s="129"/>
      <c r="Q33" s="130"/>
      <c r="R33" s="130"/>
      <c r="S33" s="130"/>
      <c r="T33" s="130"/>
      <c r="U33" s="131"/>
      <c r="V33" s="129"/>
      <c r="W33" s="130"/>
      <c r="X33" s="130"/>
      <c r="Y33" s="130"/>
      <c r="Z33" s="130"/>
      <c r="AA33" s="130"/>
      <c r="AB33" s="131"/>
      <c r="AC33" s="129"/>
      <c r="AD33" s="130"/>
      <c r="AE33" s="130"/>
      <c r="AF33" s="130"/>
      <c r="AG33" s="130"/>
      <c r="AH33" s="131"/>
      <c r="AI33" s="129"/>
      <c r="AJ33" s="130"/>
      <c r="AK33" s="130"/>
      <c r="AL33" s="130"/>
      <c r="AM33" s="130"/>
      <c r="AN33" s="130"/>
      <c r="AO33" s="131"/>
      <c r="AP33" s="129"/>
      <c r="AQ33" s="130"/>
      <c r="AR33" s="130"/>
      <c r="AS33" s="131"/>
      <c r="AT33" s="129"/>
      <c r="AU33" s="130"/>
      <c r="AV33" s="130"/>
      <c r="AW33" s="130"/>
      <c r="AX33" s="130"/>
      <c r="AY33" s="131"/>
      <c r="AZ33" s="129"/>
      <c r="BA33" s="130"/>
      <c r="BB33" s="130"/>
      <c r="BC33" s="130"/>
      <c r="BD33" s="130"/>
      <c r="BE33" s="130"/>
      <c r="BF33" s="131"/>
      <c r="BG33" s="129"/>
      <c r="BH33" s="130"/>
      <c r="BI33" s="130"/>
      <c r="BJ33" s="130"/>
      <c r="BK33" s="131"/>
      <c r="BL33" s="129"/>
      <c r="BM33" s="130"/>
      <c r="BN33" s="130"/>
      <c r="BO33" s="130"/>
      <c r="BP33" s="130"/>
      <c r="BQ33" s="130"/>
      <c r="BR33" s="130"/>
      <c r="BS33" s="131"/>
      <c r="BT33" s="132"/>
      <c r="BU33" s="132"/>
      <c r="BV33" s="132"/>
      <c r="BW33" s="132"/>
      <c r="BX33" s="132"/>
      <c r="BY33" s="129"/>
      <c r="BZ33" s="130"/>
      <c r="CA33" s="130"/>
      <c r="CB33" s="130"/>
      <c r="CC33" s="130"/>
      <c r="CD33" s="131"/>
      <c r="CE33" s="132"/>
      <c r="CF33" s="132"/>
      <c r="CG33" s="132"/>
      <c r="CH33" s="132"/>
      <c r="CI33" s="132"/>
      <c r="CJ33" s="129"/>
      <c r="CK33" s="130"/>
      <c r="CL33" s="131"/>
      <c r="CM33" s="132"/>
      <c r="CN33" s="132"/>
      <c r="CO33" s="132"/>
      <c r="CP33" s="129"/>
      <c r="CQ33" s="130"/>
      <c r="CR33" s="130"/>
      <c r="CS33" s="130"/>
      <c r="CT33" s="131"/>
      <c r="CU33" s="129"/>
      <c r="CV33" s="130"/>
      <c r="CW33" s="130"/>
      <c r="CX33" s="130"/>
      <c r="CY33" s="130"/>
      <c r="CZ33" s="131"/>
      <c r="DA33" s="129"/>
      <c r="DB33" s="130"/>
      <c r="DC33" s="130"/>
      <c r="DD33" s="130"/>
      <c r="DE33" s="131"/>
      <c r="DF33" s="129"/>
      <c r="DG33" s="130"/>
      <c r="DH33" s="130"/>
      <c r="DI33" s="130"/>
      <c r="DJ33" s="130"/>
      <c r="DK33" s="131"/>
      <c r="DL33" s="129"/>
      <c r="DM33" s="130"/>
      <c r="DN33" s="130"/>
      <c r="DO33" s="130"/>
      <c r="DP33" s="130"/>
      <c r="DQ33" s="131"/>
      <c r="DR33" s="129"/>
      <c r="DS33" s="130"/>
      <c r="DT33" s="130"/>
      <c r="DU33" s="130"/>
      <c r="DV33" s="130"/>
      <c r="DW33" s="131"/>
      <c r="DX33" s="129"/>
      <c r="DY33" s="130"/>
      <c r="DZ33" s="130"/>
      <c r="EA33" s="130"/>
      <c r="EB33" s="130"/>
      <c r="EC33" s="131"/>
      <c r="ED33" s="129"/>
      <c r="EE33" s="130"/>
      <c r="EF33" s="130"/>
      <c r="EG33" s="130"/>
      <c r="EH33" s="130"/>
      <c r="EI33" s="130"/>
      <c r="EJ33" s="129"/>
      <c r="EK33" s="130"/>
      <c r="EL33" s="130"/>
      <c r="EM33" s="130"/>
      <c r="EN33" s="130"/>
      <c r="EO33" s="130"/>
      <c r="EP33" s="130"/>
      <c r="EQ33" s="130"/>
      <c r="ER33" s="130"/>
      <c r="ES33" s="130"/>
      <c r="ET33" s="130"/>
      <c r="EU33" s="130"/>
      <c r="EV33" s="130"/>
      <c r="EW33" s="130"/>
      <c r="EX33" s="130"/>
      <c r="EY33" s="130"/>
      <c r="EZ33" s="133"/>
      <c r="FA33" s="132"/>
      <c r="FB33" s="132"/>
      <c r="FC33" s="132"/>
      <c r="FD33" s="132"/>
      <c r="FE33" s="132"/>
      <c r="FF33" s="129"/>
      <c r="FG33" s="130"/>
      <c r="FH33" s="130"/>
      <c r="FI33" s="130"/>
      <c r="FJ33" s="129"/>
      <c r="FK33" s="130"/>
      <c r="FL33" s="131"/>
      <c r="FM33" s="129"/>
      <c r="GG33" s="97" t="s">
        <v>149</v>
      </c>
    </row>
    <row r="34" spans="1:189" ht="30">
      <c r="A34" s="95" t="s">
        <v>241</v>
      </c>
      <c r="B34" s="96" t="s">
        <v>243</v>
      </c>
      <c r="C34" s="95">
        <v>1</v>
      </c>
      <c r="D34" s="95">
        <f>COUNTA(E34:KX34)</f>
        <v>1</v>
      </c>
      <c r="E34" s="129"/>
      <c r="F34" s="130"/>
      <c r="G34" s="130"/>
      <c r="H34" s="130"/>
      <c r="I34" s="130"/>
      <c r="J34" s="130"/>
      <c r="K34" s="131"/>
      <c r="L34" s="129"/>
      <c r="M34" s="130"/>
      <c r="N34" s="130"/>
      <c r="O34" s="131"/>
      <c r="P34" s="129"/>
      <c r="Q34" s="130"/>
      <c r="R34" s="130"/>
      <c r="S34" s="130"/>
      <c r="T34" s="130"/>
      <c r="U34" s="131"/>
      <c r="V34" s="129"/>
      <c r="W34" s="130"/>
      <c r="X34" s="130"/>
      <c r="Y34" s="130"/>
      <c r="Z34" s="130"/>
      <c r="AA34" s="130"/>
      <c r="AB34" s="131"/>
      <c r="AC34" s="129"/>
      <c r="AD34" s="130"/>
      <c r="AE34" s="130"/>
      <c r="AF34" s="130"/>
      <c r="AG34" s="130"/>
      <c r="AH34" s="131"/>
      <c r="AI34" s="129"/>
      <c r="AJ34" s="130"/>
      <c r="AK34" s="130"/>
      <c r="AL34" s="130"/>
      <c r="AM34" s="130"/>
      <c r="AN34" s="130"/>
      <c r="AO34" s="131"/>
      <c r="AP34" s="129"/>
      <c r="AQ34" s="130"/>
      <c r="AR34" s="130"/>
      <c r="AS34" s="131"/>
      <c r="AT34" s="129"/>
      <c r="AU34" s="130"/>
      <c r="AV34" s="130"/>
      <c r="AW34" s="130"/>
      <c r="AX34" s="130"/>
      <c r="AY34" s="131"/>
      <c r="AZ34" s="129"/>
      <c r="BA34" s="130"/>
      <c r="BB34" s="130"/>
      <c r="BC34" s="130"/>
      <c r="BD34" s="130"/>
      <c r="BE34" s="130"/>
      <c r="BF34" s="131"/>
      <c r="BG34" s="129"/>
      <c r="BH34" s="130"/>
      <c r="BI34" s="130"/>
      <c r="BJ34" s="130"/>
      <c r="BK34" s="131"/>
      <c r="BL34" s="129"/>
      <c r="BM34" s="130"/>
      <c r="BN34" s="130"/>
      <c r="BO34" s="130"/>
      <c r="BP34" s="130"/>
      <c r="BQ34" s="130"/>
      <c r="BR34" s="130"/>
      <c r="BS34" s="131"/>
      <c r="BT34" s="132"/>
      <c r="BU34" s="132"/>
      <c r="BV34" s="132"/>
      <c r="BW34" s="132"/>
      <c r="BX34" s="132"/>
      <c r="BY34" s="129"/>
      <c r="BZ34" s="130"/>
      <c r="CA34" s="130"/>
      <c r="CB34" s="130"/>
      <c r="CC34" s="130"/>
      <c r="CD34" s="131"/>
      <c r="CE34" s="132"/>
      <c r="CF34" s="132"/>
      <c r="CG34" s="132"/>
      <c r="CH34" s="132"/>
      <c r="CI34" s="132"/>
      <c r="CJ34" s="129"/>
      <c r="CK34" s="130"/>
      <c r="CL34" s="131"/>
      <c r="CM34" s="132"/>
      <c r="CN34" s="132"/>
      <c r="CO34" s="132"/>
      <c r="CP34" s="129"/>
      <c r="CQ34" s="130"/>
      <c r="CR34" s="130"/>
      <c r="CS34" s="130"/>
      <c r="CT34" s="131"/>
      <c r="CU34" s="129"/>
      <c r="CV34" s="130"/>
      <c r="CW34" s="130"/>
      <c r="CX34" s="130"/>
      <c r="CY34" s="130"/>
      <c r="CZ34" s="131"/>
      <c r="DA34" s="129"/>
      <c r="DB34" s="130"/>
      <c r="DC34" s="130"/>
      <c r="DD34" s="130"/>
      <c r="DE34" s="131"/>
      <c r="DF34" s="129"/>
      <c r="DG34" s="130"/>
      <c r="DH34" s="130"/>
      <c r="DI34" s="130"/>
      <c r="DJ34" s="130"/>
      <c r="DK34" s="131"/>
      <c r="DL34" s="129"/>
      <c r="DM34" s="130"/>
      <c r="DN34" s="130"/>
      <c r="DO34" s="130"/>
      <c r="DP34" s="130"/>
      <c r="DQ34" s="131"/>
      <c r="DR34" s="129"/>
      <c r="DS34" s="130"/>
      <c r="DT34" s="130"/>
      <c r="DU34" s="130"/>
      <c r="DV34" s="130"/>
      <c r="DW34" s="131"/>
      <c r="DX34" s="129"/>
      <c r="DY34" s="130"/>
      <c r="DZ34" s="130"/>
      <c r="EA34" s="130"/>
      <c r="EB34" s="130"/>
      <c r="EC34" s="131"/>
      <c r="ED34" s="129"/>
      <c r="EE34" s="130"/>
      <c r="EF34" s="130"/>
      <c r="EG34" s="130"/>
      <c r="EH34" s="130"/>
      <c r="EI34" s="130"/>
      <c r="EJ34" s="129"/>
      <c r="EK34" s="130"/>
      <c r="EL34" s="130"/>
      <c r="EM34" s="130"/>
      <c r="EN34" s="130"/>
      <c r="EO34" s="130"/>
      <c r="EP34" s="130"/>
      <c r="EQ34" s="130"/>
      <c r="ER34" s="130"/>
      <c r="ES34" s="130"/>
      <c r="ET34" s="130"/>
      <c r="EU34" s="130"/>
      <c r="EV34" s="130"/>
      <c r="EW34" s="130"/>
      <c r="EX34" s="130"/>
      <c r="EY34" s="130"/>
      <c r="EZ34" s="133"/>
      <c r="FA34" s="132"/>
      <c r="FB34" s="132"/>
      <c r="FC34" s="132"/>
      <c r="FD34" s="132"/>
      <c r="FE34" s="132"/>
      <c r="FF34" s="129"/>
      <c r="FG34" s="130"/>
      <c r="FH34" s="130"/>
      <c r="FI34" s="130"/>
      <c r="FJ34" s="129"/>
      <c r="FK34" s="130"/>
      <c r="FL34" s="131"/>
      <c r="FM34" s="129"/>
      <c r="GG34" s="97" t="s">
        <v>149</v>
      </c>
    </row>
    <row r="35" spans="1:189">
      <c r="A35" s="95" t="s">
        <v>241</v>
      </c>
      <c r="B35" s="96" t="s">
        <v>244</v>
      </c>
      <c r="C35" s="95">
        <v>1</v>
      </c>
      <c r="D35" s="95">
        <f>COUNTA(E35:KX35)</f>
        <v>1</v>
      </c>
      <c r="E35" s="129"/>
      <c r="F35" s="130"/>
      <c r="G35" s="130"/>
      <c r="H35" s="130"/>
      <c r="I35" s="130"/>
      <c r="J35" s="130"/>
      <c r="K35" s="131"/>
      <c r="L35" s="129"/>
      <c r="M35" s="130"/>
      <c r="N35" s="130"/>
      <c r="O35" s="131"/>
      <c r="P35" s="129"/>
      <c r="Q35" s="130"/>
      <c r="R35" s="130"/>
      <c r="S35" s="130"/>
      <c r="T35" s="130"/>
      <c r="U35" s="131"/>
      <c r="V35" s="129"/>
      <c r="W35" s="130"/>
      <c r="X35" s="130"/>
      <c r="Y35" s="130"/>
      <c r="Z35" s="130"/>
      <c r="AA35" s="130"/>
      <c r="AB35" s="131"/>
      <c r="AC35" s="129"/>
      <c r="AD35" s="130"/>
      <c r="AE35" s="130"/>
      <c r="AF35" s="130"/>
      <c r="AG35" s="130"/>
      <c r="AH35" s="131"/>
      <c r="AI35" s="129"/>
      <c r="AJ35" s="130"/>
      <c r="AK35" s="130"/>
      <c r="AL35" s="130"/>
      <c r="AM35" s="130"/>
      <c r="AN35" s="130"/>
      <c r="AO35" s="131"/>
      <c r="AP35" s="129"/>
      <c r="AQ35" s="130"/>
      <c r="AR35" s="130"/>
      <c r="AS35" s="131"/>
      <c r="AT35" s="129"/>
      <c r="AU35" s="130"/>
      <c r="AV35" s="130"/>
      <c r="AW35" s="130"/>
      <c r="AX35" s="130"/>
      <c r="AY35" s="131"/>
      <c r="AZ35" s="129"/>
      <c r="BA35" s="130"/>
      <c r="BB35" s="130"/>
      <c r="BC35" s="130"/>
      <c r="BD35" s="130"/>
      <c r="BE35" s="130"/>
      <c r="BF35" s="131"/>
      <c r="BG35" s="129"/>
      <c r="BH35" s="130"/>
      <c r="BI35" s="130"/>
      <c r="BJ35" s="130"/>
      <c r="BK35" s="131"/>
      <c r="BL35" s="129"/>
      <c r="BM35" s="130"/>
      <c r="BN35" s="130"/>
      <c r="BO35" s="130"/>
      <c r="BP35" s="130"/>
      <c r="BQ35" s="130"/>
      <c r="BR35" s="130"/>
      <c r="BS35" s="131"/>
      <c r="BT35" s="132"/>
      <c r="BU35" s="132"/>
      <c r="BV35" s="132"/>
      <c r="BW35" s="132"/>
      <c r="BX35" s="132"/>
      <c r="BY35" s="129"/>
      <c r="BZ35" s="130"/>
      <c r="CA35" s="130"/>
      <c r="CB35" s="130"/>
      <c r="CC35" s="130"/>
      <c r="CD35" s="131"/>
      <c r="CE35" s="132"/>
      <c r="CF35" s="132"/>
      <c r="CG35" s="132"/>
      <c r="CH35" s="132"/>
      <c r="CI35" s="132"/>
      <c r="CJ35" s="129"/>
      <c r="CK35" s="130"/>
      <c r="CL35" s="131"/>
      <c r="CM35" s="132"/>
      <c r="CN35" s="132"/>
      <c r="CO35" s="132"/>
      <c r="CP35" s="129"/>
      <c r="CQ35" s="130"/>
      <c r="CR35" s="130"/>
      <c r="CS35" s="130"/>
      <c r="CT35" s="131"/>
      <c r="CU35" s="129"/>
      <c r="CV35" s="130"/>
      <c r="CW35" s="130"/>
      <c r="CX35" s="130"/>
      <c r="CY35" s="130"/>
      <c r="CZ35" s="131"/>
      <c r="DA35" s="129"/>
      <c r="DB35" s="130"/>
      <c r="DC35" s="130"/>
      <c r="DD35" s="130"/>
      <c r="DE35" s="131"/>
      <c r="DF35" s="129"/>
      <c r="DG35" s="130"/>
      <c r="DH35" s="130"/>
      <c r="DI35" s="130"/>
      <c r="DJ35" s="130"/>
      <c r="DK35" s="131"/>
      <c r="DL35" s="129"/>
      <c r="DM35" s="130"/>
      <c r="DN35" s="130"/>
      <c r="DO35" s="130"/>
      <c r="DP35" s="130"/>
      <c r="DQ35" s="131"/>
      <c r="DR35" s="129"/>
      <c r="DS35" s="130"/>
      <c r="DT35" s="130"/>
      <c r="DU35" s="130"/>
      <c r="DV35" s="130"/>
      <c r="DW35" s="131"/>
      <c r="DX35" s="129"/>
      <c r="DY35" s="130"/>
      <c r="DZ35" s="130"/>
      <c r="EA35" s="130"/>
      <c r="EB35" s="130"/>
      <c r="EC35" s="131"/>
      <c r="ED35" s="129"/>
      <c r="EE35" s="130"/>
      <c r="EF35" s="130"/>
      <c r="EG35" s="130"/>
      <c r="EH35" s="130"/>
      <c r="EI35" s="130"/>
      <c r="EJ35" s="129"/>
      <c r="EK35" s="130"/>
      <c r="EL35" s="130"/>
      <c r="EM35" s="130"/>
      <c r="EN35" s="130"/>
      <c r="EO35" s="130"/>
      <c r="EP35" s="130"/>
      <c r="EQ35" s="130"/>
      <c r="ER35" s="130"/>
      <c r="ES35" s="130"/>
      <c r="ET35" s="130"/>
      <c r="EU35" s="130"/>
      <c r="EV35" s="130"/>
      <c r="EW35" s="130"/>
      <c r="EX35" s="130"/>
      <c r="EY35" s="130"/>
      <c r="EZ35" s="133"/>
      <c r="FA35" s="132"/>
      <c r="FB35" s="132"/>
      <c r="FC35" s="132"/>
      <c r="FD35" s="132"/>
      <c r="FE35" s="132"/>
      <c r="FF35" s="129"/>
      <c r="FG35" s="130"/>
      <c r="FH35" s="130"/>
      <c r="FI35" s="130"/>
      <c r="FJ35" s="129"/>
      <c r="FK35" s="130"/>
      <c r="FL35" s="131"/>
      <c r="FM35" s="129"/>
      <c r="GE35" s="97" t="s">
        <v>149</v>
      </c>
    </row>
    <row r="36" spans="1:189" ht="30">
      <c r="A36" s="95" t="s">
        <v>241</v>
      </c>
      <c r="B36" s="96" t="s">
        <v>504</v>
      </c>
      <c r="C36" s="95">
        <v>1</v>
      </c>
      <c r="D36" s="95">
        <f>COUNTA(E36:KX36)</f>
        <v>3</v>
      </c>
      <c r="E36" s="129"/>
      <c r="F36" s="130"/>
      <c r="G36" s="130"/>
      <c r="H36" s="130"/>
      <c r="I36" s="130"/>
      <c r="J36" s="130"/>
      <c r="K36" s="131"/>
      <c r="L36" s="129"/>
      <c r="M36" s="130"/>
      <c r="N36" s="130"/>
      <c r="O36" s="131"/>
      <c r="P36" s="129"/>
      <c r="Q36" s="130"/>
      <c r="R36" s="130"/>
      <c r="S36" s="130"/>
      <c r="T36" s="130"/>
      <c r="U36" s="131"/>
      <c r="V36" s="129"/>
      <c r="W36" s="130"/>
      <c r="X36" s="130"/>
      <c r="Y36" s="130"/>
      <c r="Z36" s="130"/>
      <c r="AA36" s="130"/>
      <c r="AB36" s="131"/>
      <c r="AC36" s="129"/>
      <c r="AD36" s="130"/>
      <c r="AE36" s="130"/>
      <c r="AF36" s="130"/>
      <c r="AG36" s="130"/>
      <c r="AH36" s="131"/>
      <c r="AI36" s="129"/>
      <c r="AJ36" s="130"/>
      <c r="AK36" s="130"/>
      <c r="AL36" s="130"/>
      <c r="AM36" s="130"/>
      <c r="AN36" s="130"/>
      <c r="AO36" s="131"/>
      <c r="AP36" s="129"/>
      <c r="AQ36" s="130"/>
      <c r="AR36" s="130"/>
      <c r="AS36" s="131"/>
      <c r="AT36" s="129"/>
      <c r="AU36" s="130"/>
      <c r="AV36" s="130"/>
      <c r="AW36" s="130"/>
      <c r="AX36" s="130"/>
      <c r="AY36" s="131"/>
      <c r="AZ36" s="129"/>
      <c r="BA36" s="130"/>
      <c r="BB36" s="130"/>
      <c r="BC36" s="130"/>
      <c r="BD36" s="130"/>
      <c r="BE36" s="130"/>
      <c r="BF36" s="131"/>
      <c r="BG36" s="129"/>
      <c r="BH36" s="130"/>
      <c r="BI36" s="130"/>
      <c r="BJ36" s="130"/>
      <c r="BK36" s="131"/>
      <c r="BL36" s="129"/>
      <c r="BM36" s="130"/>
      <c r="BN36" s="130"/>
      <c r="BO36" s="130"/>
      <c r="BP36" s="130"/>
      <c r="BQ36" s="130"/>
      <c r="BR36" s="130"/>
      <c r="BS36" s="131"/>
      <c r="BT36" s="132"/>
      <c r="BU36" s="132"/>
      <c r="BV36" s="132"/>
      <c r="BW36" s="132"/>
      <c r="BX36" s="132"/>
      <c r="BY36" s="129"/>
      <c r="BZ36" s="130"/>
      <c r="CA36" s="130"/>
      <c r="CB36" s="130"/>
      <c r="CC36" s="130"/>
      <c r="CD36" s="131"/>
      <c r="CE36" s="132"/>
      <c r="CF36" s="132"/>
      <c r="CG36" s="132"/>
      <c r="CH36" s="132"/>
      <c r="CI36" s="132"/>
      <c r="CJ36" s="129"/>
      <c r="CK36" s="130"/>
      <c r="CL36" s="131"/>
      <c r="CM36" s="132"/>
      <c r="CN36" s="132"/>
      <c r="CO36" s="132"/>
      <c r="CP36" s="129"/>
      <c r="CQ36" s="130"/>
      <c r="CR36" s="130"/>
      <c r="CS36" s="130"/>
      <c r="CT36" s="131"/>
      <c r="CU36" s="129"/>
      <c r="CV36" s="130"/>
      <c r="CW36" s="130"/>
      <c r="CX36" s="130"/>
      <c r="CY36" s="130"/>
      <c r="CZ36" s="131"/>
      <c r="DA36" s="129"/>
      <c r="DB36" s="130"/>
      <c r="DC36" s="130"/>
      <c r="DD36" s="130"/>
      <c r="DE36" s="131"/>
      <c r="DF36" s="129"/>
      <c r="DG36" s="130"/>
      <c r="DH36" s="130"/>
      <c r="DI36" s="130"/>
      <c r="DJ36" s="130"/>
      <c r="DK36" s="131"/>
      <c r="DL36" s="129"/>
      <c r="DM36" s="130"/>
      <c r="DN36" s="130"/>
      <c r="DO36" s="130"/>
      <c r="DP36" s="130"/>
      <c r="DQ36" s="131"/>
      <c r="DR36" s="129"/>
      <c r="DS36" s="130"/>
      <c r="DT36" s="130"/>
      <c r="DU36" s="130"/>
      <c r="DV36" s="130"/>
      <c r="DW36" s="131"/>
      <c r="DX36" s="129"/>
      <c r="DY36" s="130"/>
      <c r="DZ36" s="130"/>
      <c r="EA36" s="130"/>
      <c r="EB36" s="130"/>
      <c r="EC36" s="131"/>
      <c r="ED36" s="129"/>
      <c r="EE36" s="130"/>
      <c r="EF36" s="130"/>
      <c r="EG36" s="130"/>
      <c r="EH36" s="130"/>
      <c r="EI36" s="130"/>
      <c r="EJ36" s="129"/>
      <c r="EK36" s="130"/>
      <c r="EL36" s="130"/>
      <c r="EM36" s="130"/>
      <c r="EN36" s="130"/>
      <c r="EO36" s="130"/>
      <c r="EP36" s="130"/>
      <c r="EQ36" s="130"/>
      <c r="ER36" s="130"/>
      <c r="ES36" s="130"/>
      <c r="ET36" s="130"/>
      <c r="EU36" s="130"/>
      <c r="EV36" s="130"/>
      <c r="EW36" s="130"/>
      <c r="EX36" s="130"/>
      <c r="EY36" s="130"/>
      <c r="EZ36" s="133"/>
      <c r="FA36" s="132"/>
      <c r="FB36" s="132"/>
      <c r="FC36" s="132"/>
      <c r="FD36" s="132"/>
      <c r="FE36" s="132"/>
      <c r="FF36" s="129"/>
      <c r="FG36" s="130"/>
      <c r="FH36" s="130"/>
      <c r="FI36" s="130"/>
      <c r="FJ36" s="129"/>
      <c r="FK36" s="130"/>
      <c r="FL36" s="131"/>
      <c r="FM36" s="129"/>
      <c r="FW36" s="97" t="s">
        <v>149</v>
      </c>
      <c r="GD36" s="99" t="s">
        <v>149</v>
      </c>
      <c r="GG36" s="97" t="s">
        <v>149</v>
      </c>
    </row>
    <row r="37" spans="1:189">
      <c r="A37" s="95" t="s">
        <v>241</v>
      </c>
      <c r="B37" s="96" t="s">
        <v>573</v>
      </c>
      <c r="C37" s="95">
        <v>1</v>
      </c>
      <c r="D37" s="95">
        <f>COUNTA(E37:KX37)</f>
        <v>2</v>
      </c>
      <c r="E37" s="129"/>
      <c r="F37" s="130"/>
      <c r="G37" s="130"/>
      <c r="H37" s="130"/>
      <c r="I37" s="130"/>
      <c r="J37" s="130"/>
      <c r="K37" s="131"/>
      <c r="L37" s="129"/>
      <c r="M37" s="130"/>
      <c r="N37" s="130"/>
      <c r="O37" s="131"/>
      <c r="P37" s="129"/>
      <c r="Q37" s="130"/>
      <c r="R37" s="130"/>
      <c r="S37" s="130"/>
      <c r="T37" s="130"/>
      <c r="U37" s="131"/>
      <c r="V37" s="129"/>
      <c r="W37" s="130"/>
      <c r="X37" s="130"/>
      <c r="Y37" s="130"/>
      <c r="Z37" s="130"/>
      <c r="AA37" s="130"/>
      <c r="AB37" s="131"/>
      <c r="AC37" s="129"/>
      <c r="AD37" s="130"/>
      <c r="AE37" s="130"/>
      <c r="AF37" s="130"/>
      <c r="AG37" s="130"/>
      <c r="AH37" s="131"/>
      <c r="AI37" s="129"/>
      <c r="AJ37" s="130"/>
      <c r="AK37" s="130"/>
      <c r="AL37" s="130"/>
      <c r="AM37" s="130"/>
      <c r="AN37" s="130"/>
      <c r="AO37" s="131"/>
      <c r="AP37" s="129"/>
      <c r="AQ37" s="130"/>
      <c r="AR37" s="130"/>
      <c r="AS37" s="131"/>
      <c r="AT37" s="129"/>
      <c r="AU37" s="130"/>
      <c r="AV37" s="130"/>
      <c r="AW37" s="130"/>
      <c r="AX37" s="130"/>
      <c r="AY37" s="131"/>
      <c r="AZ37" s="129"/>
      <c r="BA37" s="130"/>
      <c r="BB37" s="130"/>
      <c r="BC37" s="130"/>
      <c r="BD37" s="130"/>
      <c r="BE37" s="130"/>
      <c r="BF37" s="131"/>
      <c r="BG37" s="129"/>
      <c r="BH37" s="130"/>
      <c r="BI37" s="130"/>
      <c r="BJ37" s="130"/>
      <c r="BK37" s="131"/>
      <c r="BL37" s="129"/>
      <c r="BM37" s="130"/>
      <c r="BN37" s="130"/>
      <c r="BO37" s="130"/>
      <c r="BP37" s="130"/>
      <c r="BQ37" s="130"/>
      <c r="BR37" s="130"/>
      <c r="BS37" s="131"/>
      <c r="BT37" s="132"/>
      <c r="BU37" s="132"/>
      <c r="BV37" s="132"/>
      <c r="BW37" s="132"/>
      <c r="BX37" s="132"/>
      <c r="BY37" s="129"/>
      <c r="BZ37" s="130"/>
      <c r="CA37" s="130"/>
      <c r="CB37" s="130"/>
      <c r="CC37" s="130"/>
      <c r="CD37" s="131"/>
      <c r="CE37" s="132"/>
      <c r="CF37" s="132"/>
      <c r="CG37" s="132"/>
      <c r="CH37" s="132"/>
      <c r="CI37" s="132"/>
      <c r="CJ37" s="129"/>
      <c r="CK37" s="130"/>
      <c r="CL37" s="131"/>
      <c r="CM37" s="132"/>
      <c r="CN37" s="132"/>
      <c r="CO37" s="132"/>
      <c r="CP37" s="129"/>
      <c r="CQ37" s="130"/>
      <c r="CR37" s="130"/>
      <c r="CS37" s="130"/>
      <c r="CT37" s="131"/>
      <c r="CU37" s="129"/>
      <c r="CV37" s="130"/>
      <c r="CW37" s="130"/>
      <c r="CX37" s="130"/>
      <c r="CY37" s="130"/>
      <c r="CZ37" s="131"/>
      <c r="DA37" s="129"/>
      <c r="DB37" s="130"/>
      <c r="DC37" s="130"/>
      <c r="DD37" s="130"/>
      <c r="DE37" s="131"/>
      <c r="DF37" s="129"/>
      <c r="DG37" s="130"/>
      <c r="DH37" s="130"/>
      <c r="DI37" s="130"/>
      <c r="DJ37" s="130"/>
      <c r="DK37" s="131"/>
      <c r="DL37" s="129"/>
      <c r="DM37" s="130"/>
      <c r="DN37" s="130"/>
      <c r="DO37" s="130"/>
      <c r="DP37" s="130"/>
      <c r="DQ37" s="131"/>
      <c r="DR37" s="129"/>
      <c r="DS37" s="130"/>
      <c r="DT37" s="130"/>
      <c r="DU37" s="130"/>
      <c r="DV37" s="130"/>
      <c r="DW37" s="131"/>
      <c r="DX37" s="129"/>
      <c r="DY37" s="130"/>
      <c r="DZ37" s="130"/>
      <c r="EA37" s="130"/>
      <c r="EB37" s="130"/>
      <c r="EC37" s="131"/>
      <c r="ED37" s="129"/>
      <c r="EE37" s="130"/>
      <c r="EF37" s="130"/>
      <c r="EG37" s="130"/>
      <c r="EH37" s="130"/>
      <c r="EI37" s="130"/>
      <c r="EJ37" s="129"/>
      <c r="EK37" s="130"/>
      <c r="EL37" s="130"/>
      <c r="EM37" s="130"/>
      <c r="EN37" s="130"/>
      <c r="EO37" s="130"/>
      <c r="EP37" s="130"/>
      <c r="EQ37" s="130"/>
      <c r="ER37" s="130"/>
      <c r="ES37" s="130"/>
      <c r="ET37" s="130"/>
      <c r="EU37" s="130"/>
      <c r="EV37" s="130"/>
      <c r="EW37" s="130"/>
      <c r="EX37" s="130"/>
      <c r="EY37" s="130"/>
      <c r="EZ37" s="133"/>
      <c r="FA37" s="132"/>
      <c r="FB37" s="132"/>
      <c r="FC37" s="132"/>
      <c r="FD37" s="132"/>
      <c r="FE37" s="132"/>
      <c r="FF37" s="129"/>
      <c r="FG37" s="130"/>
      <c r="FH37" s="130"/>
      <c r="FI37" s="130"/>
      <c r="FJ37" s="129"/>
      <c r="FK37" s="130"/>
      <c r="FL37" s="131"/>
      <c r="FM37" s="129"/>
      <c r="FW37" s="97" t="s">
        <v>149</v>
      </c>
      <c r="GD37" s="99" t="s">
        <v>149</v>
      </c>
    </row>
    <row r="38" spans="1:189">
      <c r="A38" s="95" t="s">
        <v>567</v>
      </c>
      <c r="B38" s="96" t="s">
        <v>574</v>
      </c>
      <c r="C38" s="95">
        <v>4</v>
      </c>
      <c r="D38" s="95">
        <f>COUNTA(E38:KX38)</f>
        <v>0</v>
      </c>
      <c r="E38" s="129"/>
      <c r="F38" s="130"/>
      <c r="G38" s="130"/>
      <c r="H38" s="130"/>
      <c r="I38" s="130"/>
      <c r="J38" s="130"/>
      <c r="K38" s="131"/>
      <c r="L38" s="129"/>
      <c r="M38" s="130"/>
      <c r="N38" s="130"/>
      <c r="O38" s="131"/>
      <c r="P38" s="129"/>
      <c r="Q38" s="130"/>
      <c r="R38" s="130"/>
      <c r="S38" s="130"/>
      <c r="T38" s="130"/>
      <c r="U38" s="131"/>
      <c r="V38" s="129"/>
      <c r="W38" s="130"/>
      <c r="X38" s="130"/>
      <c r="Y38" s="130"/>
      <c r="Z38" s="130"/>
      <c r="AA38" s="130"/>
      <c r="AB38" s="131"/>
      <c r="AC38" s="129"/>
      <c r="AD38" s="130"/>
      <c r="AE38" s="130"/>
      <c r="AF38" s="130"/>
      <c r="AG38" s="130"/>
      <c r="AH38" s="131"/>
      <c r="AI38" s="129"/>
      <c r="AJ38" s="130"/>
      <c r="AK38" s="130"/>
      <c r="AL38" s="130"/>
      <c r="AM38" s="130"/>
      <c r="AN38" s="130"/>
      <c r="AO38" s="131"/>
      <c r="AP38" s="129"/>
      <c r="AQ38" s="130"/>
      <c r="AR38" s="130"/>
      <c r="AS38" s="131"/>
      <c r="AT38" s="129"/>
      <c r="AU38" s="130"/>
      <c r="AV38" s="130"/>
      <c r="AW38" s="130"/>
      <c r="AX38" s="130"/>
      <c r="AY38" s="131"/>
      <c r="AZ38" s="129"/>
      <c r="BA38" s="130"/>
      <c r="BB38" s="130"/>
      <c r="BC38" s="130"/>
      <c r="BD38" s="130"/>
      <c r="BE38" s="130"/>
      <c r="BF38" s="131"/>
      <c r="BG38" s="129"/>
      <c r="BH38" s="130"/>
      <c r="BI38" s="130"/>
      <c r="BJ38" s="130"/>
      <c r="BK38" s="131"/>
      <c r="BL38" s="129"/>
      <c r="BM38" s="130"/>
      <c r="BN38" s="130"/>
      <c r="BO38" s="130"/>
      <c r="BP38" s="130"/>
      <c r="BQ38" s="130"/>
      <c r="BR38" s="130"/>
      <c r="BS38" s="131"/>
      <c r="BT38" s="132"/>
      <c r="BU38" s="132"/>
      <c r="BV38" s="132"/>
      <c r="BW38" s="132"/>
      <c r="BX38" s="132"/>
      <c r="BY38" s="129"/>
      <c r="BZ38" s="130"/>
      <c r="CA38" s="130"/>
      <c r="CB38" s="130"/>
      <c r="CC38" s="130"/>
      <c r="CD38" s="131"/>
      <c r="CE38" s="132"/>
      <c r="CF38" s="132"/>
      <c r="CG38" s="132"/>
      <c r="CH38" s="132"/>
      <c r="CI38" s="132"/>
      <c r="CJ38" s="129"/>
      <c r="CK38" s="130"/>
      <c r="CL38" s="131"/>
      <c r="CM38" s="132"/>
      <c r="CN38" s="132"/>
      <c r="CO38" s="132"/>
      <c r="CP38" s="129"/>
      <c r="CQ38" s="130"/>
      <c r="CR38" s="130"/>
      <c r="CS38" s="130"/>
      <c r="CT38" s="131"/>
      <c r="CU38" s="129"/>
      <c r="CV38" s="130"/>
      <c r="CW38" s="130"/>
      <c r="CX38" s="130"/>
      <c r="CY38" s="130"/>
      <c r="CZ38" s="131"/>
      <c r="DA38" s="129"/>
      <c r="DB38" s="130"/>
      <c r="DC38" s="130"/>
      <c r="DD38" s="130"/>
      <c r="DE38" s="131"/>
      <c r="DF38" s="129"/>
      <c r="DG38" s="130"/>
      <c r="DH38" s="130"/>
      <c r="DI38" s="130"/>
      <c r="DJ38" s="130"/>
      <c r="DK38" s="131"/>
      <c r="DL38" s="129"/>
      <c r="DM38" s="130"/>
      <c r="DN38" s="130"/>
      <c r="DO38" s="130"/>
      <c r="DP38" s="130"/>
      <c r="DQ38" s="131"/>
      <c r="DR38" s="129"/>
      <c r="DS38" s="130"/>
      <c r="DT38" s="130"/>
      <c r="DU38" s="130"/>
      <c r="DV38" s="130"/>
      <c r="DW38" s="131"/>
      <c r="DX38" s="129"/>
      <c r="DY38" s="130"/>
      <c r="DZ38" s="130"/>
      <c r="EA38" s="130"/>
      <c r="EB38" s="130"/>
      <c r="EC38" s="131"/>
      <c r="ED38" s="129"/>
      <c r="EE38" s="130"/>
      <c r="EF38" s="130"/>
      <c r="EG38" s="130"/>
      <c r="EH38" s="130"/>
      <c r="EI38" s="130"/>
      <c r="EJ38" s="129"/>
      <c r="EK38" s="130"/>
      <c r="EL38" s="130"/>
      <c r="EM38" s="130"/>
      <c r="EN38" s="130"/>
      <c r="EO38" s="130"/>
      <c r="EP38" s="130"/>
      <c r="EQ38" s="130"/>
      <c r="ER38" s="130"/>
      <c r="ES38" s="130"/>
      <c r="ET38" s="130"/>
      <c r="EU38" s="130"/>
      <c r="EV38" s="130"/>
      <c r="EW38" s="130"/>
      <c r="EX38" s="130"/>
      <c r="EY38" s="130"/>
      <c r="EZ38" s="133"/>
      <c r="FA38" s="132"/>
      <c r="FB38" s="132"/>
      <c r="FC38" s="132"/>
      <c r="FD38" s="132"/>
      <c r="FE38" s="132"/>
      <c r="FF38" s="129"/>
      <c r="FG38" s="130"/>
      <c r="FH38" s="130"/>
      <c r="FI38" s="130"/>
      <c r="FJ38" s="129"/>
      <c r="FK38" s="130"/>
      <c r="FL38" s="131"/>
      <c r="FM38" s="129"/>
    </row>
    <row r="39" spans="1:189">
      <c r="A39" s="95" t="s">
        <v>241</v>
      </c>
      <c r="B39" s="96" t="s">
        <v>572</v>
      </c>
      <c r="C39" s="95">
        <v>1</v>
      </c>
      <c r="D39" s="95">
        <f>COUNTA(E39:KX39)</f>
        <v>1</v>
      </c>
      <c r="E39" s="129"/>
      <c r="F39" s="130"/>
      <c r="G39" s="130"/>
      <c r="H39" s="130"/>
      <c r="I39" s="130"/>
      <c r="J39" s="130"/>
      <c r="K39" s="131"/>
      <c r="L39" s="129"/>
      <c r="M39" s="130"/>
      <c r="N39" s="130"/>
      <c r="O39" s="131"/>
      <c r="P39" s="129"/>
      <c r="Q39" s="130"/>
      <c r="R39" s="130"/>
      <c r="S39" s="130"/>
      <c r="T39" s="130"/>
      <c r="U39" s="131"/>
      <c r="V39" s="129"/>
      <c r="W39" s="130"/>
      <c r="X39" s="130"/>
      <c r="Y39" s="130"/>
      <c r="Z39" s="130"/>
      <c r="AA39" s="130"/>
      <c r="AB39" s="131"/>
      <c r="AC39" s="129"/>
      <c r="AD39" s="130"/>
      <c r="AE39" s="130"/>
      <c r="AF39" s="130"/>
      <c r="AG39" s="130"/>
      <c r="AH39" s="131"/>
      <c r="AI39" s="129"/>
      <c r="AJ39" s="130"/>
      <c r="AK39" s="130"/>
      <c r="AL39" s="130"/>
      <c r="AM39" s="130"/>
      <c r="AN39" s="130"/>
      <c r="AO39" s="131"/>
      <c r="AP39" s="129"/>
      <c r="AQ39" s="130"/>
      <c r="AR39" s="130"/>
      <c r="AS39" s="131"/>
      <c r="AT39" s="129"/>
      <c r="AU39" s="130"/>
      <c r="AV39" s="130"/>
      <c r="AW39" s="130"/>
      <c r="AX39" s="130"/>
      <c r="AY39" s="131"/>
      <c r="AZ39" s="129"/>
      <c r="BA39" s="130"/>
      <c r="BB39" s="130"/>
      <c r="BC39" s="130"/>
      <c r="BD39" s="130"/>
      <c r="BE39" s="130"/>
      <c r="BF39" s="131"/>
      <c r="BG39" s="129"/>
      <c r="BH39" s="130"/>
      <c r="BI39" s="130"/>
      <c r="BJ39" s="130"/>
      <c r="BK39" s="131"/>
      <c r="BL39" s="129"/>
      <c r="BM39" s="130"/>
      <c r="BN39" s="130"/>
      <c r="BO39" s="130"/>
      <c r="BP39" s="130"/>
      <c r="BQ39" s="130"/>
      <c r="BR39" s="130"/>
      <c r="BS39" s="131"/>
      <c r="BT39" s="132"/>
      <c r="BU39" s="132"/>
      <c r="BV39" s="132"/>
      <c r="BW39" s="132"/>
      <c r="BX39" s="132"/>
      <c r="BY39" s="129"/>
      <c r="BZ39" s="130"/>
      <c r="CA39" s="130"/>
      <c r="CB39" s="130"/>
      <c r="CC39" s="130"/>
      <c r="CD39" s="131"/>
      <c r="CE39" s="132"/>
      <c r="CF39" s="132"/>
      <c r="CG39" s="132"/>
      <c r="CH39" s="132"/>
      <c r="CI39" s="132"/>
      <c r="CJ39" s="129"/>
      <c r="CK39" s="130"/>
      <c r="CL39" s="131"/>
      <c r="CM39" s="132"/>
      <c r="CN39" s="132"/>
      <c r="CO39" s="132"/>
      <c r="CP39" s="129"/>
      <c r="CQ39" s="130"/>
      <c r="CR39" s="130"/>
      <c r="CS39" s="130"/>
      <c r="CT39" s="131"/>
      <c r="CU39" s="129"/>
      <c r="CV39" s="130"/>
      <c r="CW39" s="130"/>
      <c r="CX39" s="130"/>
      <c r="CY39" s="130"/>
      <c r="CZ39" s="131"/>
      <c r="DA39" s="129"/>
      <c r="DB39" s="130"/>
      <c r="DC39" s="130"/>
      <c r="DD39" s="130"/>
      <c r="DE39" s="131"/>
      <c r="DF39" s="129"/>
      <c r="DG39" s="130"/>
      <c r="DH39" s="130"/>
      <c r="DI39" s="130"/>
      <c r="DJ39" s="130"/>
      <c r="DK39" s="131"/>
      <c r="DL39" s="129"/>
      <c r="DM39" s="130"/>
      <c r="DN39" s="130"/>
      <c r="DO39" s="130"/>
      <c r="DP39" s="130"/>
      <c r="DQ39" s="131"/>
      <c r="DR39" s="129"/>
      <c r="DS39" s="130"/>
      <c r="DT39" s="130"/>
      <c r="DU39" s="130"/>
      <c r="DV39" s="130"/>
      <c r="DW39" s="131"/>
      <c r="DX39" s="129"/>
      <c r="DY39" s="130"/>
      <c r="DZ39" s="130"/>
      <c r="EA39" s="130"/>
      <c r="EB39" s="130"/>
      <c r="EC39" s="131"/>
      <c r="ED39" s="129"/>
      <c r="EE39" s="130"/>
      <c r="EF39" s="130"/>
      <c r="EG39" s="130"/>
      <c r="EH39" s="130"/>
      <c r="EI39" s="130"/>
      <c r="EJ39" s="129"/>
      <c r="EK39" s="130"/>
      <c r="EL39" s="130"/>
      <c r="EM39" s="130"/>
      <c r="EN39" s="130"/>
      <c r="EO39" s="130"/>
      <c r="EP39" s="130"/>
      <c r="EQ39" s="130"/>
      <c r="ER39" s="130"/>
      <c r="ES39" s="130"/>
      <c r="ET39" s="130"/>
      <c r="EU39" s="130"/>
      <c r="EV39" s="130"/>
      <c r="EW39" s="130"/>
      <c r="EX39" s="130"/>
      <c r="EY39" s="130"/>
      <c r="EZ39" s="133"/>
      <c r="FA39" s="132"/>
      <c r="FB39" s="132"/>
      <c r="FC39" s="132"/>
      <c r="FD39" s="132"/>
      <c r="FE39" s="132"/>
      <c r="FF39" s="129"/>
      <c r="FG39" s="130"/>
      <c r="FH39" s="130"/>
      <c r="FI39" s="130"/>
      <c r="FJ39" s="129"/>
      <c r="FK39" s="130"/>
      <c r="FL39" s="131"/>
      <c r="FM39" s="129"/>
      <c r="GE39" s="97" t="s">
        <v>149</v>
      </c>
    </row>
    <row r="40" spans="1:189">
      <c r="A40" s="95" t="s">
        <v>245</v>
      </c>
      <c r="B40" s="96" t="s">
        <v>246</v>
      </c>
      <c r="C40" s="95">
        <v>1</v>
      </c>
      <c r="D40" s="95">
        <f>COUNTA(E40:KX40)</f>
        <v>4</v>
      </c>
      <c r="E40" s="129"/>
      <c r="F40" s="130"/>
      <c r="G40" s="130"/>
      <c r="H40" s="130"/>
      <c r="I40" s="130"/>
      <c r="J40" s="130"/>
      <c r="K40" s="131"/>
      <c r="L40" s="129"/>
      <c r="M40" s="130"/>
      <c r="N40" s="130"/>
      <c r="O40" s="131"/>
      <c r="P40" s="129"/>
      <c r="Q40" s="130"/>
      <c r="R40" s="130"/>
      <c r="S40" s="130"/>
      <c r="T40" s="130"/>
      <c r="U40" s="131"/>
      <c r="V40" s="129"/>
      <c r="W40" s="130"/>
      <c r="X40" s="130"/>
      <c r="Y40" s="130"/>
      <c r="Z40" s="130"/>
      <c r="AA40" s="130"/>
      <c r="AB40" s="131"/>
      <c r="AC40" s="129"/>
      <c r="AD40" s="130"/>
      <c r="AE40" s="130"/>
      <c r="AF40" s="130"/>
      <c r="AG40" s="130"/>
      <c r="AH40" s="131"/>
      <c r="AI40" s="129"/>
      <c r="AJ40" s="130"/>
      <c r="AK40" s="130"/>
      <c r="AL40" s="130"/>
      <c r="AM40" s="130"/>
      <c r="AN40" s="130"/>
      <c r="AO40" s="131"/>
      <c r="AP40" s="129"/>
      <c r="AQ40" s="130"/>
      <c r="AR40" s="130"/>
      <c r="AS40" s="131"/>
      <c r="AT40" s="129"/>
      <c r="AU40" s="130"/>
      <c r="AV40" s="130"/>
      <c r="AW40" s="130"/>
      <c r="AX40" s="130"/>
      <c r="AY40" s="131"/>
      <c r="AZ40" s="129"/>
      <c r="BA40" s="130"/>
      <c r="BB40" s="130"/>
      <c r="BC40" s="130"/>
      <c r="BD40" s="130"/>
      <c r="BE40" s="130"/>
      <c r="BF40" s="131"/>
      <c r="BG40" s="129"/>
      <c r="BH40" s="130"/>
      <c r="BI40" s="130"/>
      <c r="BJ40" s="130"/>
      <c r="BK40" s="131"/>
      <c r="BL40" s="129"/>
      <c r="BM40" s="130"/>
      <c r="BN40" s="130"/>
      <c r="BO40" s="130"/>
      <c r="BP40" s="130"/>
      <c r="BQ40" s="130"/>
      <c r="BR40" s="130"/>
      <c r="BS40" s="131"/>
      <c r="BT40" s="132"/>
      <c r="BU40" s="132"/>
      <c r="BV40" s="132"/>
      <c r="BW40" s="132"/>
      <c r="BX40" s="132"/>
      <c r="BY40" s="129"/>
      <c r="BZ40" s="130"/>
      <c r="CA40" s="130"/>
      <c r="CB40" s="130"/>
      <c r="CC40" s="130"/>
      <c r="CD40" s="131"/>
      <c r="CE40" s="132"/>
      <c r="CF40" s="132"/>
      <c r="CG40" s="132"/>
      <c r="CH40" s="132"/>
      <c r="CI40" s="132"/>
      <c r="CJ40" s="129"/>
      <c r="CK40" s="130"/>
      <c r="CL40" s="131"/>
      <c r="CM40" s="132"/>
      <c r="CN40" s="132"/>
      <c r="CO40" s="132"/>
      <c r="CP40" s="129"/>
      <c r="CQ40" s="130"/>
      <c r="CR40" s="130"/>
      <c r="CS40" s="130"/>
      <c r="CT40" s="131"/>
      <c r="CU40" s="129"/>
      <c r="CV40" s="130"/>
      <c r="CW40" s="130"/>
      <c r="CX40" s="130"/>
      <c r="CY40" s="130"/>
      <c r="CZ40" s="131"/>
      <c r="DA40" s="129"/>
      <c r="DB40" s="130"/>
      <c r="DC40" s="130"/>
      <c r="DD40" s="130"/>
      <c r="DE40" s="131"/>
      <c r="DF40" s="129"/>
      <c r="DG40" s="130"/>
      <c r="DH40" s="130"/>
      <c r="DI40" s="130"/>
      <c r="DJ40" s="130"/>
      <c r="DK40" s="131"/>
      <c r="DL40" s="129"/>
      <c r="DM40" s="130"/>
      <c r="DN40" s="130"/>
      <c r="DO40" s="130"/>
      <c r="DP40" s="130"/>
      <c r="DQ40" s="131"/>
      <c r="DR40" s="129"/>
      <c r="DS40" s="130"/>
      <c r="DT40" s="130"/>
      <c r="DU40" s="130"/>
      <c r="DV40" s="130"/>
      <c r="DW40" s="131"/>
      <c r="DX40" s="129"/>
      <c r="DY40" s="130"/>
      <c r="DZ40" s="130"/>
      <c r="EA40" s="130"/>
      <c r="EB40" s="130"/>
      <c r="EC40" s="131"/>
      <c r="ED40" s="129"/>
      <c r="EE40" s="130"/>
      <c r="EF40" s="130"/>
      <c r="EG40" s="130"/>
      <c r="EH40" s="130"/>
      <c r="EI40" s="130"/>
      <c r="EJ40" s="129"/>
      <c r="EK40" s="130"/>
      <c r="EL40" s="130"/>
      <c r="EM40" s="130"/>
      <c r="EN40" s="130"/>
      <c r="EO40" s="130"/>
      <c r="EP40" s="130"/>
      <c r="EQ40" s="130"/>
      <c r="ER40" s="130"/>
      <c r="ES40" s="130"/>
      <c r="ET40" s="130"/>
      <c r="EU40" s="130"/>
      <c r="EV40" s="130"/>
      <c r="EW40" s="130"/>
      <c r="EX40" s="130"/>
      <c r="EY40" s="130"/>
      <c r="EZ40" s="133"/>
      <c r="FA40" s="132" t="s">
        <v>149</v>
      </c>
      <c r="FB40" s="132" t="s">
        <v>149</v>
      </c>
      <c r="FC40" s="132" t="s">
        <v>149</v>
      </c>
      <c r="FD40" s="132" t="s">
        <v>149</v>
      </c>
      <c r="FE40" s="132"/>
      <c r="FF40" s="129"/>
      <c r="FG40" s="130"/>
      <c r="FH40" s="130"/>
      <c r="FI40" s="130"/>
      <c r="FJ40" s="129"/>
      <c r="FK40" s="130"/>
      <c r="FL40" s="131"/>
      <c r="FM40" s="129"/>
    </row>
    <row r="41" spans="1:189">
      <c r="A41" s="95" t="s">
        <v>245</v>
      </c>
      <c r="B41" s="96" t="s">
        <v>247</v>
      </c>
      <c r="D41" s="95">
        <f>COUNTA(E41:KX41)</f>
        <v>1</v>
      </c>
      <c r="E41" s="129"/>
      <c r="F41" s="130"/>
      <c r="G41" s="130"/>
      <c r="H41" s="130"/>
      <c r="I41" s="130"/>
      <c r="J41" s="130"/>
      <c r="K41" s="131"/>
      <c r="L41" s="129"/>
      <c r="M41" s="130"/>
      <c r="N41" s="130"/>
      <c r="O41" s="131"/>
      <c r="P41" s="129"/>
      <c r="Q41" s="130"/>
      <c r="R41" s="130"/>
      <c r="S41" s="130"/>
      <c r="T41" s="130"/>
      <c r="U41" s="131"/>
      <c r="V41" s="129"/>
      <c r="W41" s="130"/>
      <c r="X41" s="130"/>
      <c r="Y41" s="130"/>
      <c r="Z41" s="130"/>
      <c r="AA41" s="130"/>
      <c r="AB41" s="131"/>
      <c r="AC41" s="129"/>
      <c r="AD41" s="130"/>
      <c r="AE41" s="130"/>
      <c r="AF41" s="130"/>
      <c r="AG41" s="130"/>
      <c r="AH41" s="131"/>
      <c r="AI41" s="129"/>
      <c r="AJ41" s="130"/>
      <c r="AK41" s="130"/>
      <c r="AL41" s="130"/>
      <c r="AM41" s="130"/>
      <c r="AN41" s="130"/>
      <c r="AO41" s="131"/>
      <c r="AP41" s="129"/>
      <c r="AQ41" s="130"/>
      <c r="AR41" s="130"/>
      <c r="AS41" s="131"/>
      <c r="AT41" s="129"/>
      <c r="AU41" s="130"/>
      <c r="AV41" s="130"/>
      <c r="AW41" s="130"/>
      <c r="AX41" s="130"/>
      <c r="AY41" s="131"/>
      <c r="AZ41" s="129"/>
      <c r="BA41" s="130"/>
      <c r="BB41" s="130"/>
      <c r="BC41" s="130"/>
      <c r="BD41" s="130"/>
      <c r="BE41" s="130"/>
      <c r="BF41" s="131"/>
      <c r="BG41" s="129"/>
      <c r="BH41" s="130"/>
      <c r="BI41" s="130"/>
      <c r="BJ41" s="130"/>
      <c r="BK41" s="131"/>
      <c r="BL41" s="129"/>
      <c r="BM41" s="130"/>
      <c r="BN41" s="130"/>
      <c r="BO41" s="130"/>
      <c r="BP41" s="130"/>
      <c r="BQ41" s="130"/>
      <c r="BR41" s="130"/>
      <c r="BS41" s="131"/>
      <c r="BT41" s="132"/>
      <c r="BU41" s="132"/>
      <c r="BV41" s="132"/>
      <c r="BW41" s="132"/>
      <c r="BX41" s="132"/>
      <c r="BY41" s="129"/>
      <c r="BZ41" s="130"/>
      <c r="CA41" s="130"/>
      <c r="CB41" s="130"/>
      <c r="CC41" s="130"/>
      <c r="CD41" s="131"/>
      <c r="CE41" s="132"/>
      <c r="CF41" s="132"/>
      <c r="CG41" s="132"/>
      <c r="CH41" s="132"/>
      <c r="CI41" s="132"/>
      <c r="CJ41" s="129"/>
      <c r="CK41" s="130"/>
      <c r="CL41" s="131"/>
      <c r="CM41" s="132"/>
      <c r="CN41" s="132"/>
      <c r="CO41" s="132"/>
      <c r="CP41" s="129"/>
      <c r="CQ41" s="130"/>
      <c r="CR41" s="130"/>
      <c r="CS41" s="130"/>
      <c r="CT41" s="131"/>
      <c r="CU41" s="129"/>
      <c r="CV41" s="130"/>
      <c r="CW41" s="130"/>
      <c r="CX41" s="130"/>
      <c r="CY41" s="130"/>
      <c r="CZ41" s="131"/>
      <c r="DA41" s="129"/>
      <c r="DB41" s="130"/>
      <c r="DC41" s="130"/>
      <c r="DD41" s="130"/>
      <c r="DE41" s="131"/>
      <c r="DF41" s="129"/>
      <c r="DG41" s="130"/>
      <c r="DH41" s="130"/>
      <c r="DI41" s="130"/>
      <c r="DJ41" s="130"/>
      <c r="DK41" s="131"/>
      <c r="DL41" s="129"/>
      <c r="DM41" s="130"/>
      <c r="DN41" s="130"/>
      <c r="DO41" s="130"/>
      <c r="DP41" s="130"/>
      <c r="DQ41" s="131"/>
      <c r="DR41" s="129"/>
      <c r="DS41" s="130"/>
      <c r="DT41" s="130"/>
      <c r="DU41" s="130"/>
      <c r="DV41" s="130"/>
      <c r="DW41" s="131"/>
      <c r="DX41" s="129"/>
      <c r="DY41" s="130"/>
      <c r="DZ41" s="130"/>
      <c r="EA41" s="130"/>
      <c r="EB41" s="130"/>
      <c r="EC41" s="131"/>
      <c r="ED41" s="129"/>
      <c r="EE41" s="130"/>
      <c r="EF41" s="130"/>
      <c r="EG41" s="130"/>
      <c r="EH41" s="130"/>
      <c r="EI41" s="130"/>
      <c r="EJ41" s="129"/>
      <c r="EK41" s="130"/>
      <c r="EL41" s="130"/>
      <c r="EM41" s="130"/>
      <c r="EN41" s="130"/>
      <c r="EO41" s="130"/>
      <c r="EP41" s="130"/>
      <c r="EQ41" s="130"/>
      <c r="ER41" s="130"/>
      <c r="ES41" s="130"/>
      <c r="ET41" s="130"/>
      <c r="EU41" s="130"/>
      <c r="EV41" s="130"/>
      <c r="EW41" s="130"/>
      <c r="EX41" s="130"/>
      <c r="EY41" s="130"/>
      <c r="EZ41" s="133"/>
      <c r="FA41" s="132"/>
      <c r="FB41" s="132"/>
      <c r="FC41" s="132" t="s">
        <v>149</v>
      </c>
      <c r="FD41" s="132"/>
      <c r="FE41" s="132"/>
      <c r="FF41" s="129"/>
      <c r="FG41" s="130"/>
      <c r="FH41" s="130"/>
      <c r="FI41" s="130"/>
      <c r="FJ41" s="129"/>
      <c r="FK41" s="130"/>
      <c r="FL41" s="131"/>
      <c r="FM41" s="129"/>
    </row>
    <row r="42" spans="1:189">
      <c r="A42" s="95" t="s">
        <v>245</v>
      </c>
      <c r="B42" s="96" t="s">
        <v>568</v>
      </c>
      <c r="D42" s="95">
        <f>COUNTA(E42:KX42)</f>
        <v>1</v>
      </c>
      <c r="E42" s="129"/>
      <c r="F42" s="130"/>
      <c r="G42" s="130"/>
      <c r="H42" s="130"/>
      <c r="I42" s="130"/>
      <c r="J42" s="130"/>
      <c r="K42" s="131"/>
      <c r="L42" s="129"/>
      <c r="M42" s="130"/>
      <c r="N42" s="130"/>
      <c r="O42" s="131"/>
      <c r="P42" s="129"/>
      <c r="Q42" s="130"/>
      <c r="R42" s="130"/>
      <c r="S42" s="130"/>
      <c r="T42" s="130"/>
      <c r="U42" s="131"/>
      <c r="V42" s="129"/>
      <c r="W42" s="130"/>
      <c r="X42" s="130"/>
      <c r="Y42" s="130"/>
      <c r="Z42" s="130"/>
      <c r="AA42" s="130"/>
      <c r="AB42" s="131"/>
      <c r="AC42" s="129"/>
      <c r="AD42" s="130"/>
      <c r="AE42" s="130"/>
      <c r="AF42" s="130"/>
      <c r="AG42" s="130"/>
      <c r="AH42" s="131"/>
      <c r="AI42" s="129"/>
      <c r="AJ42" s="130"/>
      <c r="AK42" s="130"/>
      <c r="AL42" s="130"/>
      <c r="AM42" s="130"/>
      <c r="AN42" s="130"/>
      <c r="AO42" s="131"/>
      <c r="AP42" s="129"/>
      <c r="AQ42" s="130"/>
      <c r="AR42" s="130"/>
      <c r="AS42" s="131"/>
      <c r="AT42" s="129"/>
      <c r="AU42" s="130"/>
      <c r="AV42" s="130"/>
      <c r="AW42" s="130"/>
      <c r="AX42" s="130"/>
      <c r="AY42" s="131"/>
      <c r="AZ42" s="129"/>
      <c r="BA42" s="130"/>
      <c r="BB42" s="130"/>
      <c r="BC42" s="130"/>
      <c r="BD42" s="130"/>
      <c r="BE42" s="130"/>
      <c r="BF42" s="131"/>
      <c r="BG42" s="129"/>
      <c r="BH42" s="130"/>
      <c r="BI42" s="130"/>
      <c r="BJ42" s="130"/>
      <c r="BK42" s="131"/>
      <c r="BL42" s="129"/>
      <c r="BM42" s="130"/>
      <c r="BN42" s="130"/>
      <c r="BO42" s="130"/>
      <c r="BP42" s="130"/>
      <c r="BQ42" s="130"/>
      <c r="BR42" s="130"/>
      <c r="BS42" s="131"/>
      <c r="BT42" s="132"/>
      <c r="BU42" s="132"/>
      <c r="BV42" s="132"/>
      <c r="BW42" s="132"/>
      <c r="BX42" s="132"/>
      <c r="BY42" s="129"/>
      <c r="BZ42" s="130"/>
      <c r="CA42" s="130"/>
      <c r="CB42" s="130"/>
      <c r="CC42" s="130"/>
      <c r="CD42" s="131"/>
      <c r="CE42" s="132"/>
      <c r="CF42" s="132"/>
      <c r="CG42" s="132"/>
      <c r="CH42" s="132"/>
      <c r="CI42" s="132"/>
      <c r="CJ42" s="129"/>
      <c r="CK42" s="130"/>
      <c r="CL42" s="131"/>
      <c r="CM42" s="132"/>
      <c r="CN42" s="132"/>
      <c r="CO42" s="132"/>
      <c r="CP42" s="129"/>
      <c r="CQ42" s="130"/>
      <c r="CR42" s="130"/>
      <c r="CS42" s="130"/>
      <c r="CT42" s="131"/>
      <c r="CU42" s="129"/>
      <c r="CV42" s="130"/>
      <c r="CW42" s="130"/>
      <c r="CX42" s="130"/>
      <c r="CY42" s="130"/>
      <c r="CZ42" s="131"/>
      <c r="DA42" s="129"/>
      <c r="DB42" s="130"/>
      <c r="DC42" s="130"/>
      <c r="DD42" s="130"/>
      <c r="DE42" s="131"/>
      <c r="DF42" s="129"/>
      <c r="DG42" s="130"/>
      <c r="DH42" s="130"/>
      <c r="DI42" s="130"/>
      <c r="DJ42" s="130"/>
      <c r="DK42" s="131"/>
      <c r="DL42" s="129"/>
      <c r="DM42" s="130"/>
      <c r="DN42" s="130"/>
      <c r="DO42" s="130"/>
      <c r="DP42" s="130"/>
      <c r="DQ42" s="131"/>
      <c r="DR42" s="129"/>
      <c r="DS42" s="130"/>
      <c r="DT42" s="130"/>
      <c r="DU42" s="130"/>
      <c r="DV42" s="130"/>
      <c r="DW42" s="131"/>
      <c r="DX42" s="129"/>
      <c r="DY42" s="130"/>
      <c r="DZ42" s="130"/>
      <c r="EA42" s="130"/>
      <c r="EB42" s="130"/>
      <c r="EC42" s="131"/>
      <c r="ED42" s="129"/>
      <c r="EE42" s="130"/>
      <c r="EF42" s="130"/>
      <c r="EG42" s="130"/>
      <c r="EH42" s="130"/>
      <c r="EI42" s="130"/>
      <c r="EJ42" s="129"/>
      <c r="EK42" s="130"/>
      <c r="EL42" s="130"/>
      <c r="EM42" s="130"/>
      <c r="EN42" s="130"/>
      <c r="EO42" s="130"/>
      <c r="EP42" s="130"/>
      <c r="EQ42" s="130"/>
      <c r="ER42" s="130"/>
      <c r="ES42" s="130"/>
      <c r="ET42" s="130"/>
      <c r="EU42" s="130"/>
      <c r="EV42" s="130"/>
      <c r="EW42" s="130"/>
      <c r="EX42" s="130"/>
      <c r="EY42" s="130"/>
      <c r="EZ42" s="133"/>
      <c r="FA42" s="132"/>
      <c r="FB42" s="132"/>
      <c r="FC42" s="132" t="s">
        <v>149</v>
      </c>
      <c r="FD42" s="132"/>
      <c r="FE42" s="132"/>
      <c r="FF42" s="129"/>
      <c r="FG42" s="130"/>
      <c r="FH42" s="130"/>
      <c r="FI42" s="130"/>
      <c r="FJ42" s="129"/>
      <c r="FK42" s="130"/>
      <c r="FL42" s="131"/>
      <c r="FM42" s="129"/>
    </row>
    <row r="43" spans="1:189">
      <c r="A43" s="95" t="s">
        <v>245</v>
      </c>
      <c r="B43" s="96" t="s">
        <v>503</v>
      </c>
      <c r="D43" s="95">
        <f>COUNTA(E43:KX43)</f>
        <v>2</v>
      </c>
      <c r="E43" s="129"/>
      <c r="F43" s="130"/>
      <c r="G43" s="130"/>
      <c r="H43" s="130"/>
      <c r="I43" s="130"/>
      <c r="J43" s="130"/>
      <c r="K43" s="131"/>
      <c r="L43" s="129"/>
      <c r="M43" s="130"/>
      <c r="N43" s="130"/>
      <c r="O43" s="131"/>
      <c r="P43" s="129"/>
      <c r="Q43" s="130"/>
      <c r="R43" s="130"/>
      <c r="S43" s="130"/>
      <c r="T43" s="130"/>
      <c r="U43" s="131"/>
      <c r="V43" s="129"/>
      <c r="W43" s="130"/>
      <c r="X43" s="130"/>
      <c r="Y43" s="130"/>
      <c r="Z43" s="130"/>
      <c r="AA43" s="130"/>
      <c r="AB43" s="131"/>
      <c r="AC43" s="129"/>
      <c r="AD43" s="130"/>
      <c r="AE43" s="130"/>
      <c r="AF43" s="130"/>
      <c r="AG43" s="130"/>
      <c r="AH43" s="131"/>
      <c r="AI43" s="129"/>
      <c r="AJ43" s="130"/>
      <c r="AK43" s="130"/>
      <c r="AL43" s="130"/>
      <c r="AM43" s="130"/>
      <c r="AN43" s="130"/>
      <c r="AO43" s="131"/>
      <c r="AP43" s="129"/>
      <c r="AQ43" s="130"/>
      <c r="AR43" s="130"/>
      <c r="AS43" s="131"/>
      <c r="AT43" s="129"/>
      <c r="AU43" s="130"/>
      <c r="AV43" s="130"/>
      <c r="AW43" s="130"/>
      <c r="AX43" s="130"/>
      <c r="AY43" s="131"/>
      <c r="AZ43" s="129"/>
      <c r="BA43" s="130"/>
      <c r="BB43" s="130"/>
      <c r="BC43" s="130"/>
      <c r="BD43" s="130"/>
      <c r="BE43" s="130"/>
      <c r="BF43" s="131"/>
      <c r="BG43" s="129"/>
      <c r="BH43" s="130"/>
      <c r="BI43" s="130"/>
      <c r="BJ43" s="130"/>
      <c r="BK43" s="131"/>
      <c r="BL43" s="129"/>
      <c r="BM43" s="130"/>
      <c r="BN43" s="130"/>
      <c r="BO43" s="130"/>
      <c r="BP43" s="130"/>
      <c r="BQ43" s="130"/>
      <c r="BR43" s="130"/>
      <c r="BS43" s="131"/>
      <c r="BT43" s="132"/>
      <c r="BU43" s="132"/>
      <c r="BV43" s="132"/>
      <c r="BW43" s="132"/>
      <c r="BX43" s="132"/>
      <c r="BY43" s="129"/>
      <c r="BZ43" s="130"/>
      <c r="CA43" s="130"/>
      <c r="CB43" s="130"/>
      <c r="CC43" s="130"/>
      <c r="CD43" s="131"/>
      <c r="CE43" s="132"/>
      <c r="CF43" s="132"/>
      <c r="CG43" s="132"/>
      <c r="CH43" s="132"/>
      <c r="CI43" s="132"/>
      <c r="CJ43" s="129"/>
      <c r="CK43" s="130"/>
      <c r="CL43" s="131"/>
      <c r="CM43" s="132"/>
      <c r="CN43" s="132"/>
      <c r="CO43" s="132"/>
      <c r="CP43" s="129"/>
      <c r="CQ43" s="130"/>
      <c r="CR43" s="130"/>
      <c r="CS43" s="130"/>
      <c r="CT43" s="131"/>
      <c r="CU43" s="129"/>
      <c r="CV43" s="130"/>
      <c r="CW43" s="130"/>
      <c r="CX43" s="130"/>
      <c r="CY43" s="130"/>
      <c r="CZ43" s="131"/>
      <c r="DA43" s="129"/>
      <c r="DB43" s="130"/>
      <c r="DC43" s="130"/>
      <c r="DD43" s="130"/>
      <c r="DE43" s="131"/>
      <c r="DF43" s="129"/>
      <c r="DG43" s="130"/>
      <c r="DH43" s="130"/>
      <c r="DI43" s="130"/>
      <c r="DJ43" s="130"/>
      <c r="DK43" s="131"/>
      <c r="DL43" s="129"/>
      <c r="DM43" s="130"/>
      <c r="DN43" s="130"/>
      <c r="DO43" s="130"/>
      <c r="DP43" s="130"/>
      <c r="DQ43" s="131"/>
      <c r="DR43" s="129"/>
      <c r="DS43" s="130"/>
      <c r="DT43" s="130"/>
      <c r="DU43" s="130"/>
      <c r="DV43" s="130"/>
      <c r="DW43" s="131"/>
      <c r="DX43" s="129"/>
      <c r="DY43" s="130"/>
      <c r="DZ43" s="130"/>
      <c r="EA43" s="130"/>
      <c r="EB43" s="130"/>
      <c r="EC43" s="131"/>
      <c r="ED43" s="129"/>
      <c r="EE43" s="130"/>
      <c r="EF43" s="130"/>
      <c r="EG43" s="130"/>
      <c r="EH43" s="130"/>
      <c r="EI43" s="130"/>
      <c r="EJ43" s="129"/>
      <c r="EK43" s="130"/>
      <c r="EL43" s="130"/>
      <c r="EM43" s="130"/>
      <c r="EN43" s="130"/>
      <c r="EO43" s="130"/>
      <c r="EP43" s="130"/>
      <c r="EQ43" s="130"/>
      <c r="ER43" s="130"/>
      <c r="ES43" s="130"/>
      <c r="ET43" s="130"/>
      <c r="EU43" s="130"/>
      <c r="EV43" s="130"/>
      <c r="EW43" s="130"/>
      <c r="EX43" s="130"/>
      <c r="EY43" s="130"/>
      <c r="EZ43" s="133"/>
      <c r="FA43" s="132" t="s">
        <v>149</v>
      </c>
      <c r="FB43" s="132"/>
      <c r="FC43" s="132"/>
      <c r="FD43" s="132" t="s">
        <v>149</v>
      </c>
      <c r="FE43" s="132"/>
      <c r="FF43" s="129"/>
      <c r="FG43" s="130"/>
      <c r="FH43" s="130"/>
      <c r="FI43" s="130"/>
      <c r="FJ43" s="129"/>
      <c r="FK43" s="130"/>
      <c r="FL43" s="131"/>
      <c r="FM43" s="129"/>
    </row>
    <row r="44" spans="1:189">
      <c r="B44" s="96" t="s">
        <v>569</v>
      </c>
      <c r="C44" s="95">
        <v>3</v>
      </c>
      <c r="D44" s="95">
        <f>COUNTA(E44:KX44)</f>
        <v>0</v>
      </c>
      <c r="E44" s="129"/>
      <c r="F44" s="130"/>
      <c r="G44" s="130"/>
      <c r="H44" s="130"/>
      <c r="I44" s="130"/>
      <c r="J44" s="130"/>
      <c r="K44" s="131"/>
      <c r="L44" s="129"/>
      <c r="M44" s="130"/>
      <c r="N44" s="130"/>
      <c r="O44" s="131"/>
      <c r="P44" s="129"/>
      <c r="Q44" s="130"/>
      <c r="R44" s="130"/>
      <c r="S44" s="130"/>
      <c r="T44" s="130"/>
      <c r="U44" s="131"/>
      <c r="V44" s="129"/>
      <c r="W44" s="130"/>
      <c r="X44" s="130"/>
      <c r="Y44" s="130"/>
      <c r="Z44" s="130"/>
      <c r="AA44" s="130"/>
      <c r="AB44" s="131"/>
      <c r="AC44" s="129"/>
      <c r="AD44" s="130"/>
      <c r="AE44" s="130"/>
      <c r="AF44" s="130"/>
      <c r="AG44" s="130"/>
      <c r="AH44" s="131"/>
      <c r="AI44" s="129"/>
      <c r="AJ44" s="130"/>
      <c r="AK44" s="130"/>
      <c r="AL44" s="130"/>
      <c r="AM44" s="130"/>
      <c r="AN44" s="130"/>
      <c r="AO44" s="131"/>
      <c r="AP44" s="129"/>
      <c r="AQ44" s="130"/>
      <c r="AR44" s="130"/>
      <c r="AS44" s="131"/>
      <c r="AT44" s="129"/>
      <c r="AU44" s="130"/>
      <c r="AV44" s="130"/>
      <c r="AW44" s="130"/>
      <c r="AX44" s="130"/>
      <c r="AY44" s="131"/>
      <c r="AZ44" s="129"/>
      <c r="BA44" s="130"/>
      <c r="BB44" s="130"/>
      <c r="BC44" s="130"/>
      <c r="BD44" s="130"/>
      <c r="BE44" s="130"/>
      <c r="BF44" s="131"/>
      <c r="BG44" s="129"/>
      <c r="BH44" s="130"/>
      <c r="BI44" s="130"/>
      <c r="BJ44" s="130"/>
      <c r="BK44" s="131"/>
      <c r="BL44" s="129"/>
      <c r="BM44" s="130"/>
      <c r="BN44" s="130"/>
      <c r="BO44" s="130"/>
      <c r="BP44" s="130"/>
      <c r="BQ44" s="130"/>
      <c r="BR44" s="130"/>
      <c r="BS44" s="131"/>
      <c r="BT44" s="132"/>
      <c r="BU44" s="132"/>
      <c r="BV44" s="132"/>
      <c r="BW44" s="132"/>
      <c r="BX44" s="132"/>
      <c r="BY44" s="129"/>
      <c r="BZ44" s="130"/>
      <c r="CA44" s="130"/>
      <c r="CB44" s="130"/>
      <c r="CC44" s="130"/>
      <c r="CD44" s="131"/>
      <c r="CE44" s="132"/>
      <c r="CF44" s="132"/>
      <c r="CG44" s="132"/>
      <c r="CH44" s="132"/>
      <c r="CI44" s="132"/>
      <c r="CJ44" s="129"/>
      <c r="CK44" s="130"/>
      <c r="CL44" s="131"/>
      <c r="CM44" s="132"/>
      <c r="CN44" s="132"/>
      <c r="CO44" s="132"/>
      <c r="CP44" s="129"/>
      <c r="CQ44" s="130"/>
      <c r="CR44" s="130"/>
      <c r="CS44" s="130"/>
      <c r="CT44" s="131"/>
      <c r="CU44" s="129"/>
      <c r="CV44" s="130"/>
      <c r="CW44" s="130"/>
      <c r="CX44" s="130"/>
      <c r="CY44" s="130"/>
      <c r="CZ44" s="131"/>
      <c r="DA44" s="129"/>
      <c r="DB44" s="130"/>
      <c r="DC44" s="130"/>
      <c r="DD44" s="130"/>
      <c r="DE44" s="131"/>
      <c r="DF44" s="129"/>
      <c r="DG44" s="130"/>
      <c r="DH44" s="130"/>
      <c r="DI44" s="130"/>
      <c r="DJ44" s="130"/>
      <c r="DK44" s="131"/>
      <c r="DL44" s="129"/>
      <c r="DM44" s="130"/>
      <c r="DN44" s="130"/>
      <c r="DO44" s="130"/>
      <c r="DP44" s="130"/>
      <c r="DQ44" s="131"/>
      <c r="DR44" s="129"/>
      <c r="DS44" s="130"/>
      <c r="DT44" s="130"/>
      <c r="DU44" s="130"/>
      <c r="DV44" s="130"/>
      <c r="DW44" s="131"/>
      <c r="DX44" s="129"/>
      <c r="DY44" s="130"/>
      <c r="DZ44" s="130"/>
      <c r="EA44" s="130"/>
      <c r="EB44" s="130"/>
      <c r="EC44" s="131"/>
      <c r="ED44" s="129"/>
      <c r="EE44" s="130"/>
      <c r="EF44" s="130"/>
      <c r="EG44" s="130"/>
      <c r="EH44" s="130"/>
      <c r="EI44" s="130"/>
      <c r="EJ44" s="129"/>
      <c r="EK44" s="130"/>
      <c r="EL44" s="130"/>
      <c r="EM44" s="130"/>
      <c r="EN44" s="130"/>
      <c r="EO44" s="130"/>
      <c r="EP44" s="130"/>
      <c r="EQ44" s="130"/>
      <c r="ER44" s="130"/>
      <c r="ES44" s="130"/>
      <c r="ET44" s="130"/>
      <c r="EU44" s="130"/>
      <c r="EV44" s="130"/>
      <c r="EW44" s="130"/>
      <c r="EX44" s="130"/>
      <c r="EY44" s="130"/>
      <c r="EZ44" s="133"/>
      <c r="FA44" s="132"/>
      <c r="FB44" s="132"/>
      <c r="FC44" s="132"/>
      <c r="FD44" s="132"/>
      <c r="FE44" s="132"/>
      <c r="FF44" s="129"/>
      <c r="FG44" s="130"/>
      <c r="FH44" s="130"/>
      <c r="FI44" s="130"/>
      <c r="FJ44" s="129"/>
      <c r="FK44" s="130"/>
      <c r="FL44" s="131"/>
      <c r="FM44" s="129"/>
    </row>
    <row r="45" spans="1:189">
      <c r="A45" s="95" t="s">
        <v>248</v>
      </c>
      <c r="B45" s="96" t="s">
        <v>249</v>
      </c>
      <c r="C45" s="95">
        <v>1</v>
      </c>
      <c r="D45" s="95">
        <f>COUNTA(E45:KX45)</f>
        <v>1</v>
      </c>
      <c r="E45" s="129"/>
      <c r="F45" s="130"/>
      <c r="G45" s="130"/>
      <c r="H45" s="130"/>
      <c r="I45" s="130"/>
      <c r="J45" s="130"/>
      <c r="K45" s="131"/>
      <c r="L45" s="129"/>
      <c r="M45" s="130"/>
      <c r="N45" s="130"/>
      <c r="O45" s="131"/>
      <c r="P45" s="129"/>
      <c r="Q45" s="130"/>
      <c r="R45" s="130"/>
      <c r="S45" s="130"/>
      <c r="T45" s="130"/>
      <c r="U45" s="131"/>
      <c r="V45" s="129"/>
      <c r="W45" s="130"/>
      <c r="X45" s="130"/>
      <c r="Y45" s="130"/>
      <c r="Z45" s="130"/>
      <c r="AA45" s="130"/>
      <c r="AB45" s="131"/>
      <c r="AC45" s="129"/>
      <c r="AD45" s="130"/>
      <c r="AE45" s="130"/>
      <c r="AF45" s="130"/>
      <c r="AG45" s="130"/>
      <c r="AH45" s="131"/>
      <c r="AI45" s="129"/>
      <c r="AJ45" s="130"/>
      <c r="AK45" s="130"/>
      <c r="AL45" s="130"/>
      <c r="AM45" s="130"/>
      <c r="AN45" s="130"/>
      <c r="AO45" s="131"/>
      <c r="AP45" s="129"/>
      <c r="AQ45" s="130"/>
      <c r="AR45" s="130"/>
      <c r="AS45" s="131"/>
      <c r="AT45" s="129"/>
      <c r="AU45" s="130"/>
      <c r="AV45" s="130"/>
      <c r="AW45" s="130"/>
      <c r="AX45" s="130"/>
      <c r="AY45" s="131"/>
      <c r="AZ45" s="129"/>
      <c r="BA45" s="130"/>
      <c r="BB45" s="130"/>
      <c r="BC45" s="130"/>
      <c r="BD45" s="130"/>
      <c r="BE45" s="130"/>
      <c r="BF45" s="131"/>
      <c r="BG45" s="129"/>
      <c r="BH45" s="130"/>
      <c r="BI45" s="130"/>
      <c r="BJ45" s="130"/>
      <c r="BK45" s="131"/>
      <c r="BL45" s="129"/>
      <c r="BM45" s="130"/>
      <c r="BN45" s="130"/>
      <c r="BO45" s="130"/>
      <c r="BP45" s="130"/>
      <c r="BQ45" s="130"/>
      <c r="BR45" s="130"/>
      <c r="BS45" s="131"/>
      <c r="BT45" s="132"/>
      <c r="BU45" s="132"/>
      <c r="BV45" s="132"/>
      <c r="BW45" s="132"/>
      <c r="BX45" s="132"/>
      <c r="BY45" s="129"/>
      <c r="BZ45" s="130"/>
      <c r="CA45" s="130"/>
      <c r="CB45" s="130"/>
      <c r="CC45" s="130"/>
      <c r="CD45" s="131"/>
      <c r="CE45" s="132"/>
      <c r="CF45" s="132"/>
      <c r="CG45" s="132"/>
      <c r="CH45" s="132"/>
      <c r="CI45" s="132"/>
      <c r="CJ45" s="129"/>
      <c r="CK45" s="130"/>
      <c r="CL45" s="131"/>
      <c r="CM45" s="132"/>
      <c r="CN45" s="132"/>
      <c r="CO45" s="132"/>
      <c r="CP45" s="129"/>
      <c r="CQ45" s="130"/>
      <c r="CR45" s="130"/>
      <c r="CS45" s="130"/>
      <c r="CT45" s="131"/>
      <c r="CU45" s="129"/>
      <c r="CV45" s="130"/>
      <c r="CW45" s="130"/>
      <c r="CX45" s="130"/>
      <c r="CY45" s="130"/>
      <c r="CZ45" s="131"/>
      <c r="DA45" s="129"/>
      <c r="DB45" s="130"/>
      <c r="DC45" s="130"/>
      <c r="DD45" s="130"/>
      <c r="DE45" s="131"/>
      <c r="DF45" s="129"/>
      <c r="DG45" s="130"/>
      <c r="DH45" s="130"/>
      <c r="DI45" s="130"/>
      <c r="DJ45" s="130"/>
      <c r="DK45" s="131"/>
      <c r="DL45" s="129"/>
      <c r="DM45" s="130"/>
      <c r="DN45" s="130"/>
      <c r="DO45" s="130"/>
      <c r="DP45" s="130"/>
      <c r="DQ45" s="131"/>
      <c r="DR45" s="129"/>
      <c r="DS45" s="130"/>
      <c r="DT45" s="130"/>
      <c r="DU45" s="130"/>
      <c r="DV45" s="130"/>
      <c r="DW45" s="131"/>
      <c r="DX45" s="129"/>
      <c r="DY45" s="130"/>
      <c r="DZ45" s="130"/>
      <c r="EA45" s="130"/>
      <c r="EB45" s="130"/>
      <c r="EC45" s="131"/>
      <c r="ED45" s="129"/>
      <c r="EE45" s="130"/>
      <c r="EF45" s="130"/>
      <c r="EG45" s="130"/>
      <c r="EH45" s="130"/>
      <c r="EI45" s="130"/>
      <c r="EJ45" s="129"/>
      <c r="EK45" s="130"/>
      <c r="EL45" s="130"/>
      <c r="EM45" s="130"/>
      <c r="EN45" s="130"/>
      <c r="EO45" s="130"/>
      <c r="EP45" s="130"/>
      <c r="EQ45" s="130"/>
      <c r="ER45" s="130"/>
      <c r="ES45" s="130"/>
      <c r="ET45" s="130"/>
      <c r="EU45" s="130"/>
      <c r="EV45" s="130"/>
      <c r="EW45" s="130"/>
      <c r="EX45" s="130"/>
      <c r="EY45" s="130"/>
      <c r="EZ45" s="133"/>
      <c r="FA45" s="132"/>
      <c r="FB45" s="132" t="s">
        <v>149</v>
      </c>
      <c r="FC45" s="132"/>
      <c r="FD45" s="132"/>
      <c r="FE45" s="132"/>
      <c r="FF45" s="129"/>
      <c r="FG45" s="130"/>
      <c r="FH45" s="130"/>
      <c r="FI45" s="130"/>
      <c r="FJ45" s="129"/>
      <c r="FK45" s="130"/>
      <c r="FL45" s="131"/>
      <c r="FM45" s="129"/>
    </row>
    <row r="46" spans="1:189">
      <c r="A46" s="95" t="s">
        <v>250</v>
      </c>
      <c r="B46" s="96" t="s">
        <v>251</v>
      </c>
      <c r="C46" s="95">
        <v>2</v>
      </c>
      <c r="D46" s="95">
        <f>COUNTA(E46:KX46)</f>
        <v>40</v>
      </c>
      <c r="E46" s="129"/>
      <c r="F46" s="130"/>
      <c r="G46" s="130"/>
      <c r="H46" s="130"/>
      <c r="I46" s="130"/>
      <c r="J46" s="130"/>
      <c r="K46" s="131"/>
      <c r="L46" s="129"/>
      <c r="M46" s="130"/>
      <c r="N46" s="130"/>
      <c r="O46" s="131"/>
      <c r="P46" s="129"/>
      <c r="Q46" s="130"/>
      <c r="R46" s="130" t="s">
        <v>217</v>
      </c>
      <c r="S46" s="130" t="s">
        <v>217</v>
      </c>
      <c r="T46" s="130" t="s">
        <v>217</v>
      </c>
      <c r="U46" s="131"/>
      <c r="V46" s="129"/>
      <c r="W46" s="130"/>
      <c r="X46" s="130"/>
      <c r="Y46" s="130" t="s">
        <v>217</v>
      </c>
      <c r="Z46" s="130"/>
      <c r="AA46" s="130"/>
      <c r="AB46" s="131"/>
      <c r="AC46" s="129"/>
      <c r="AD46" s="130"/>
      <c r="AE46" s="130"/>
      <c r="AF46" s="130"/>
      <c r="AG46" s="130" t="s">
        <v>217</v>
      </c>
      <c r="AH46" s="131"/>
      <c r="AI46" s="129"/>
      <c r="AJ46" s="130"/>
      <c r="AK46" s="130"/>
      <c r="AL46" s="130"/>
      <c r="AM46" s="130"/>
      <c r="AN46" s="130"/>
      <c r="AO46" s="131"/>
      <c r="AP46" s="129"/>
      <c r="AQ46" s="130"/>
      <c r="AR46" s="130"/>
      <c r="AS46" s="131"/>
      <c r="AT46" s="129"/>
      <c r="AU46" s="130"/>
      <c r="AV46" s="130" t="s">
        <v>217</v>
      </c>
      <c r="AW46" s="130" t="s">
        <v>217</v>
      </c>
      <c r="AX46" s="130"/>
      <c r="AY46" s="131"/>
      <c r="AZ46" s="129"/>
      <c r="BA46" s="130"/>
      <c r="BB46" s="130"/>
      <c r="BC46" s="130"/>
      <c r="BD46" s="130"/>
      <c r="BE46" s="130"/>
      <c r="BF46" s="131"/>
      <c r="BG46" s="129"/>
      <c r="BH46" s="130"/>
      <c r="BI46" s="130"/>
      <c r="BJ46" s="130"/>
      <c r="BK46" s="131"/>
      <c r="BL46" s="129"/>
      <c r="BM46" s="130"/>
      <c r="BN46" s="130"/>
      <c r="BO46" s="130" t="s">
        <v>217</v>
      </c>
      <c r="BP46" s="130" t="s">
        <v>217</v>
      </c>
      <c r="BQ46" s="130" t="s">
        <v>217</v>
      </c>
      <c r="BR46" s="130" t="s">
        <v>217</v>
      </c>
      <c r="BS46" s="131"/>
      <c r="BT46" s="132"/>
      <c r="BU46" s="132" t="s">
        <v>217</v>
      </c>
      <c r="BV46" s="132"/>
      <c r="BW46" s="132" t="s">
        <v>217</v>
      </c>
      <c r="BX46" s="132"/>
      <c r="BY46" s="129"/>
      <c r="BZ46" s="130" t="s">
        <v>217</v>
      </c>
      <c r="CA46" s="130" t="s">
        <v>217</v>
      </c>
      <c r="CB46" s="130"/>
      <c r="CC46" s="130" t="s">
        <v>149</v>
      </c>
      <c r="CD46" s="131"/>
      <c r="CE46" s="132"/>
      <c r="CF46" s="132" t="s">
        <v>217</v>
      </c>
      <c r="CG46" s="132"/>
      <c r="CH46" s="132" t="s">
        <v>217</v>
      </c>
      <c r="CI46" s="132"/>
      <c r="CJ46" s="129" t="s">
        <v>217</v>
      </c>
      <c r="CK46" s="130" t="s">
        <v>217</v>
      </c>
      <c r="CL46" s="131"/>
      <c r="CM46" s="132" t="s">
        <v>217</v>
      </c>
      <c r="CN46" s="132"/>
      <c r="CO46" s="132"/>
      <c r="CP46" s="129"/>
      <c r="CQ46" s="130" t="s">
        <v>217</v>
      </c>
      <c r="CR46" s="130"/>
      <c r="CS46" s="130" t="s">
        <v>217</v>
      </c>
      <c r="CT46" s="131"/>
      <c r="CU46" s="129" t="s">
        <v>217</v>
      </c>
      <c r="CV46" s="130" t="s">
        <v>217</v>
      </c>
      <c r="CW46" s="130" t="s">
        <v>217</v>
      </c>
      <c r="CX46" s="130"/>
      <c r="CY46" s="130" t="s">
        <v>217</v>
      </c>
      <c r="CZ46" s="131"/>
      <c r="DA46" s="129" t="s">
        <v>217</v>
      </c>
      <c r="DB46" s="130" t="s">
        <v>217</v>
      </c>
      <c r="DC46" s="130"/>
      <c r="DD46" s="130" t="s">
        <v>217</v>
      </c>
      <c r="DE46" s="131"/>
      <c r="DF46" s="129"/>
      <c r="DG46" s="130"/>
      <c r="DH46" s="130"/>
      <c r="DI46" s="130"/>
      <c r="DJ46" s="130"/>
      <c r="DK46" s="131"/>
      <c r="DL46" s="129" t="s">
        <v>149</v>
      </c>
      <c r="DM46" s="130"/>
      <c r="DN46" s="130" t="s">
        <v>149</v>
      </c>
      <c r="DO46" s="130"/>
      <c r="DP46" s="130"/>
      <c r="DQ46" s="131"/>
      <c r="DR46" s="129"/>
      <c r="DS46" s="130" t="s">
        <v>149</v>
      </c>
      <c r="DT46" s="130"/>
      <c r="DU46" s="130" t="s">
        <v>149</v>
      </c>
      <c r="DV46" s="130"/>
      <c r="DW46" s="131"/>
      <c r="DX46" s="129" t="s">
        <v>149</v>
      </c>
      <c r="DY46" s="130"/>
      <c r="DZ46" s="130"/>
      <c r="EA46" s="130" t="s">
        <v>149</v>
      </c>
      <c r="EB46" s="130"/>
      <c r="EC46" s="131"/>
      <c r="ED46" s="129" t="s">
        <v>149</v>
      </c>
      <c r="EE46" s="130" t="s">
        <v>149</v>
      </c>
      <c r="EF46" s="130"/>
      <c r="EG46" s="130"/>
      <c r="EH46" s="130" t="s">
        <v>149</v>
      </c>
      <c r="EI46" s="130"/>
      <c r="EJ46" s="129" t="s">
        <v>149</v>
      </c>
      <c r="EK46" s="130"/>
      <c r="EL46" s="130"/>
      <c r="EM46" s="130"/>
      <c r="EN46" s="130"/>
      <c r="EO46" s="130"/>
      <c r="EP46" s="130"/>
      <c r="EQ46" s="130"/>
      <c r="ER46" s="130"/>
      <c r="ES46" s="130"/>
      <c r="ET46" s="130"/>
      <c r="EU46" s="130"/>
      <c r="EV46" s="130"/>
      <c r="EW46" s="130"/>
      <c r="EX46" s="130"/>
      <c r="EY46" s="130"/>
      <c r="EZ46" s="133"/>
      <c r="FA46" s="132"/>
      <c r="FB46" s="132"/>
      <c r="FC46" s="132"/>
      <c r="FD46" s="132"/>
      <c r="FE46" s="132"/>
      <c r="FF46" s="129"/>
      <c r="FG46" s="130"/>
      <c r="FH46" s="130"/>
      <c r="FI46" s="130"/>
      <c r="FJ46" s="129"/>
      <c r="FK46" s="130"/>
      <c r="FL46" s="131"/>
      <c r="FM46" s="129"/>
    </row>
    <row r="47" spans="1:189">
      <c r="A47" s="95" t="s">
        <v>250</v>
      </c>
      <c r="B47" s="96" t="s">
        <v>252</v>
      </c>
      <c r="C47" s="95">
        <v>2</v>
      </c>
      <c r="D47" s="95">
        <f>COUNTA(E47:KX47)</f>
        <v>2</v>
      </c>
      <c r="E47" s="129"/>
      <c r="F47" s="130"/>
      <c r="G47" s="130"/>
      <c r="H47" s="130"/>
      <c r="I47" s="130"/>
      <c r="J47" s="130"/>
      <c r="K47" s="131"/>
      <c r="L47" s="129"/>
      <c r="M47" s="130"/>
      <c r="N47" s="130"/>
      <c r="O47" s="131"/>
      <c r="P47" s="129"/>
      <c r="Q47" s="130"/>
      <c r="R47" s="130"/>
      <c r="S47" s="130" t="s">
        <v>217</v>
      </c>
      <c r="T47" s="130"/>
      <c r="U47" s="131"/>
      <c r="V47" s="129"/>
      <c r="W47" s="130"/>
      <c r="X47" s="130"/>
      <c r="Y47" s="130"/>
      <c r="Z47" s="130"/>
      <c r="AA47" s="130"/>
      <c r="AB47" s="131"/>
      <c r="AC47" s="129"/>
      <c r="AD47" s="130"/>
      <c r="AE47" s="130"/>
      <c r="AF47" s="130"/>
      <c r="AG47" s="130"/>
      <c r="AH47" s="131"/>
      <c r="AI47" s="129"/>
      <c r="AJ47" s="130"/>
      <c r="AK47" s="130"/>
      <c r="AL47" s="130"/>
      <c r="AM47" s="130"/>
      <c r="AN47" s="130"/>
      <c r="AO47" s="131"/>
      <c r="AP47" s="129"/>
      <c r="AQ47" s="130"/>
      <c r="AR47" s="130"/>
      <c r="AS47" s="131"/>
      <c r="AT47" s="129"/>
      <c r="AU47" s="130"/>
      <c r="AV47" s="130"/>
      <c r="AW47" s="130"/>
      <c r="AX47" s="130"/>
      <c r="AY47" s="131"/>
      <c r="AZ47" s="129"/>
      <c r="BA47" s="130"/>
      <c r="BB47" s="130"/>
      <c r="BC47" s="130"/>
      <c r="BD47" s="130"/>
      <c r="BE47" s="130"/>
      <c r="BF47" s="131"/>
      <c r="BG47" s="129"/>
      <c r="BH47" s="130"/>
      <c r="BI47" s="130"/>
      <c r="BJ47" s="130"/>
      <c r="BK47" s="131"/>
      <c r="BL47" s="129"/>
      <c r="BM47" s="130"/>
      <c r="BN47" s="130"/>
      <c r="BO47" s="130"/>
      <c r="BP47" s="130"/>
      <c r="BQ47" s="130"/>
      <c r="BR47" s="130"/>
      <c r="BS47" s="131"/>
      <c r="BT47" s="132"/>
      <c r="BU47" s="132"/>
      <c r="BV47" s="132"/>
      <c r="BW47" s="132"/>
      <c r="BX47" s="132"/>
      <c r="BY47" s="129"/>
      <c r="BZ47" s="130"/>
      <c r="CA47" s="130"/>
      <c r="CB47" s="130"/>
      <c r="CC47" s="130"/>
      <c r="CD47" s="131"/>
      <c r="CE47" s="132"/>
      <c r="CF47" s="132"/>
      <c r="CG47" s="132"/>
      <c r="CH47" s="132"/>
      <c r="CI47" s="132"/>
      <c r="CJ47" s="129"/>
      <c r="CK47" s="130"/>
      <c r="CL47" s="131"/>
      <c r="CM47" s="132"/>
      <c r="CN47" s="132"/>
      <c r="CO47" s="132"/>
      <c r="CP47" s="129"/>
      <c r="CQ47" s="130"/>
      <c r="CR47" s="130"/>
      <c r="CS47" s="130"/>
      <c r="CT47" s="131"/>
      <c r="CU47" s="129"/>
      <c r="CV47" s="130"/>
      <c r="CW47" s="130"/>
      <c r="CX47" s="130"/>
      <c r="CY47" s="130"/>
      <c r="CZ47" s="131"/>
      <c r="DA47" s="129"/>
      <c r="DB47" s="130"/>
      <c r="DC47" s="130"/>
      <c r="DD47" s="130"/>
      <c r="DE47" s="131"/>
      <c r="DF47" s="129"/>
      <c r="DG47" s="130"/>
      <c r="DH47" s="130"/>
      <c r="DI47" s="130"/>
      <c r="DJ47" s="130"/>
      <c r="DK47" s="131"/>
      <c r="DL47" s="129"/>
      <c r="DM47" s="130"/>
      <c r="DN47" s="130" t="s">
        <v>149</v>
      </c>
      <c r="DO47" s="130"/>
      <c r="DP47" s="130"/>
      <c r="DQ47" s="131"/>
      <c r="DR47" s="129"/>
      <c r="DS47" s="130"/>
      <c r="DT47" s="130"/>
      <c r="DU47" s="130"/>
      <c r="DV47" s="130"/>
      <c r="DW47" s="131"/>
      <c r="DX47" s="129"/>
      <c r="DY47" s="130"/>
      <c r="DZ47" s="130"/>
      <c r="EA47" s="130"/>
      <c r="EB47" s="130"/>
      <c r="EC47" s="131"/>
      <c r="ED47" s="129"/>
      <c r="EE47" s="130"/>
      <c r="EF47" s="130"/>
      <c r="EG47" s="130"/>
      <c r="EH47" s="130"/>
      <c r="EI47" s="130"/>
      <c r="EJ47" s="129"/>
      <c r="EK47" s="130"/>
      <c r="EL47" s="130"/>
      <c r="EM47" s="130"/>
      <c r="EN47" s="130"/>
      <c r="EO47" s="130"/>
      <c r="EP47" s="130"/>
      <c r="EQ47" s="130"/>
      <c r="ER47" s="130"/>
      <c r="ES47" s="130"/>
      <c r="ET47" s="130"/>
      <c r="EU47" s="130"/>
      <c r="EV47" s="130"/>
      <c r="EW47" s="130"/>
      <c r="EX47" s="130"/>
      <c r="EY47" s="130"/>
      <c r="EZ47" s="133"/>
      <c r="FA47" s="132"/>
      <c r="FB47" s="132"/>
      <c r="FC47" s="132"/>
      <c r="FD47" s="132"/>
      <c r="FE47" s="132"/>
      <c r="FF47" s="129"/>
      <c r="FG47" s="130"/>
      <c r="FH47" s="130"/>
      <c r="FI47" s="130"/>
      <c r="FJ47" s="129"/>
      <c r="FK47" s="130"/>
      <c r="FL47" s="131"/>
      <c r="FM47" s="129"/>
    </row>
    <row r="48" spans="1:189">
      <c r="A48" s="95" t="s">
        <v>250</v>
      </c>
      <c r="B48" s="96" t="s">
        <v>253</v>
      </c>
      <c r="C48" s="95">
        <v>1</v>
      </c>
      <c r="D48" s="95">
        <f>COUNTA(E48:KX48)</f>
        <v>46</v>
      </c>
      <c r="E48" s="129" t="s">
        <v>217</v>
      </c>
      <c r="F48" s="130" t="s">
        <v>217</v>
      </c>
      <c r="G48" s="130" t="s">
        <v>217</v>
      </c>
      <c r="H48" s="130"/>
      <c r="I48" s="130"/>
      <c r="J48" s="130"/>
      <c r="K48" s="131"/>
      <c r="L48" s="129"/>
      <c r="M48" s="130" t="s">
        <v>217</v>
      </c>
      <c r="N48" s="130" t="s">
        <v>217</v>
      </c>
      <c r="O48" s="131"/>
      <c r="P48" s="129" t="s">
        <v>217</v>
      </c>
      <c r="Q48" s="130" t="s">
        <v>217</v>
      </c>
      <c r="R48" s="130" t="s">
        <v>217</v>
      </c>
      <c r="S48" s="130"/>
      <c r="T48" s="130"/>
      <c r="U48" s="131"/>
      <c r="V48" s="129" t="s">
        <v>217</v>
      </c>
      <c r="W48" s="130" t="s">
        <v>217</v>
      </c>
      <c r="X48" s="130"/>
      <c r="Y48" s="130"/>
      <c r="Z48" s="130"/>
      <c r="AA48" s="130" t="s">
        <v>217</v>
      </c>
      <c r="AB48" s="131"/>
      <c r="AC48" s="129" t="s">
        <v>217</v>
      </c>
      <c r="AD48" s="130" t="s">
        <v>217</v>
      </c>
      <c r="AE48" s="130"/>
      <c r="AF48" s="130"/>
      <c r="AG48" s="130"/>
      <c r="AH48" s="131"/>
      <c r="AI48" s="129" t="s">
        <v>217</v>
      </c>
      <c r="AJ48" s="130" t="s">
        <v>217</v>
      </c>
      <c r="AK48" s="130" t="s">
        <v>217</v>
      </c>
      <c r="AL48" s="130"/>
      <c r="AM48" s="130"/>
      <c r="AN48" s="130"/>
      <c r="AO48" s="131"/>
      <c r="AP48" s="129"/>
      <c r="AQ48" s="130" t="s">
        <v>217</v>
      </c>
      <c r="AR48" s="130" t="s">
        <v>217</v>
      </c>
      <c r="AS48" s="131"/>
      <c r="AT48" s="129" t="s">
        <v>217</v>
      </c>
      <c r="AU48" s="130" t="s">
        <v>217</v>
      </c>
      <c r="AV48" s="130"/>
      <c r="AW48" s="130"/>
      <c r="AX48" s="130"/>
      <c r="AY48" s="131"/>
      <c r="AZ48" s="129" t="s">
        <v>217</v>
      </c>
      <c r="BA48" s="130" t="s">
        <v>217</v>
      </c>
      <c r="BB48" s="130"/>
      <c r="BC48" s="130"/>
      <c r="BD48" s="130"/>
      <c r="BE48" s="130" t="s">
        <v>217</v>
      </c>
      <c r="BF48" s="131"/>
      <c r="BG48" s="129" t="s">
        <v>217</v>
      </c>
      <c r="BH48" s="130" t="s">
        <v>217</v>
      </c>
      <c r="BI48" s="130"/>
      <c r="BJ48" s="130"/>
      <c r="BK48" s="131"/>
      <c r="BL48" s="129"/>
      <c r="BM48" s="130"/>
      <c r="BN48" s="130"/>
      <c r="BO48" s="130"/>
      <c r="BP48" s="130"/>
      <c r="BQ48" s="130"/>
      <c r="BR48" s="130"/>
      <c r="BS48" s="131"/>
      <c r="BT48" s="132" t="s">
        <v>217</v>
      </c>
      <c r="BU48" s="132"/>
      <c r="BV48" s="132" t="s">
        <v>217</v>
      </c>
      <c r="BW48" s="132"/>
      <c r="BX48" s="132"/>
      <c r="BY48" s="129" t="s">
        <v>217</v>
      </c>
      <c r="BZ48" s="130"/>
      <c r="CA48" s="130"/>
      <c r="CB48" s="130" t="s">
        <v>217</v>
      </c>
      <c r="CC48" s="130"/>
      <c r="CD48" s="131"/>
      <c r="CE48" s="132" t="s">
        <v>217</v>
      </c>
      <c r="CF48" s="132"/>
      <c r="CG48" s="132" t="s">
        <v>217</v>
      </c>
      <c r="CH48" s="132"/>
      <c r="CI48" s="132"/>
      <c r="CJ48" s="129"/>
      <c r="CK48" s="130"/>
      <c r="CL48" s="131"/>
      <c r="CM48" s="132"/>
      <c r="CN48" s="132"/>
      <c r="CO48" s="132"/>
      <c r="CP48" s="129" t="s">
        <v>217</v>
      </c>
      <c r="CQ48" s="130"/>
      <c r="CR48" s="130" t="s">
        <v>217</v>
      </c>
      <c r="CS48" s="130"/>
      <c r="CT48" s="131"/>
      <c r="CU48" s="129"/>
      <c r="CV48" s="130"/>
      <c r="CW48" s="130"/>
      <c r="CX48" s="130" t="s">
        <v>217</v>
      </c>
      <c r="CY48" s="130"/>
      <c r="CZ48" s="131"/>
      <c r="DA48" s="129"/>
      <c r="DB48" s="130"/>
      <c r="DC48" s="130" t="s">
        <v>217</v>
      </c>
      <c r="DD48" s="130"/>
      <c r="DE48" s="131"/>
      <c r="DF48" s="129"/>
      <c r="DG48" s="130"/>
      <c r="DH48" s="130"/>
      <c r="DI48" s="130"/>
      <c r="DJ48" s="130"/>
      <c r="DK48" s="131"/>
      <c r="DL48" s="129"/>
      <c r="DM48" s="130" t="s">
        <v>149</v>
      </c>
      <c r="DN48" s="130"/>
      <c r="DO48" s="130" t="s">
        <v>149</v>
      </c>
      <c r="DP48" s="130" t="s">
        <v>149</v>
      </c>
      <c r="DQ48" s="131"/>
      <c r="DR48" s="129" t="s">
        <v>149</v>
      </c>
      <c r="DS48" s="130"/>
      <c r="DT48" s="130" t="s">
        <v>149</v>
      </c>
      <c r="DU48" s="130"/>
      <c r="DV48" s="130" t="s">
        <v>149</v>
      </c>
      <c r="DW48" s="131"/>
      <c r="DX48" s="129"/>
      <c r="DY48" s="130" t="s">
        <v>149</v>
      </c>
      <c r="DZ48" s="130" t="s">
        <v>149</v>
      </c>
      <c r="EA48" s="130"/>
      <c r="EB48" s="130" t="s">
        <v>149</v>
      </c>
      <c r="EC48" s="131"/>
      <c r="ED48" s="129"/>
      <c r="EE48" s="130"/>
      <c r="EF48" s="130" t="s">
        <v>149</v>
      </c>
      <c r="EG48" s="130" t="s">
        <v>149</v>
      </c>
      <c r="EH48" s="130"/>
      <c r="EI48" s="130"/>
      <c r="EJ48" s="129"/>
      <c r="EK48" s="130"/>
      <c r="EL48" s="130"/>
      <c r="EM48" s="130"/>
      <c r="EN48" s="130"/>
      <c r="EO48" s="130"/>
      <c r="EP48" s="130"/>
      <c r="EQ48" s="130"/>
      <c r="ER48" s="130"/>
      <c r="ES48" s="130"/>
      <c r="ET48" s="130"/>
      <c r="EU48" s="130"/>
      <c r="EV48" s="130"/>
      <c r="EW48" s="130"/>
      <c r="EX48" s="130"/>
      <c r="EY48" s="130"/>
      <c r="EZ48" s="133"/>
      <c r="FA48" s="132"/>
      <c r="FB48" s="132"/>
      <c r="FC48" s="132"/>
      <c r="FD48" s="132"/>
      <c r="FE48" s="132"/>
      <c r="FF48" s="129"/>
      <c r="FG48" s="130"/>
      <c r="FH48" s="130"/>
      <c r="FI48" s="130"/>
      <c r="FJ48" s="129"/>
      <c r="FK48" s="130"/>
      <c r="FL48" s="131"/>
      <c r="FM48" s="129"/>
    </row>
    <row r="49" spans="1:184">
      <c r="A49" s="95" t="s">
        <v>250</v>
      </c>
      <c r="B49" s="96" t="s">
        <v>254</v>
      </c>
      <c r="C49" s="95">
        <v>1</v>
      </c>
      <c r="D49" s="95">
        <f>COUNTA(E49:KX49)</f>
        <v>59</v>
      </c>
      <c r="E49" s="129" t="s">
        <v>217</v>
      </c>
      <c r="F49" s="130" t="s">
        <v>217</v>
      </c>
      <c r="G49" s="130"/>
      <c r="H49" s="130"/>
      <c r="I49" s="130"/>
      <c r="J49" s="130"/>
      <c r="K49" s="131"/>
      <c r="L49" s="129"/>
      <c r="M49" s="130" t="s">
        <v>217</v>
      </c>
      <c r="N49" s="130"/>
      <c r="O49" s="131"/>
      <c r="P49" s="129"/>
      <c r="Q49" s="130"/>
      <c r="R49" s="130"/>
      <c r="S49" s="130"/>
      <c r="T49" s="130"/>
      <c r="U49" s="131"/>
      <c r="V49" s="129"/>
      <c r="W49" s="130" t="s">
        <v>217</v>
      </c>
      <c r="X49" s="130" t="s">
        <v>217</v>
      </c>
      <c r="Y49" s="130" t="s">
        <v>217</v>
      </c>
      <c r="Z49" s="130" t="s">
        <v>217</v>
      </c>
      <c r="AA49" s="130" t="s">
        <v>217</v>
      </c>
      <c r="AB49" s="131"/>
      <c r="AC49" s="129"/>
      <c r="AD49" s="130" t="s">
        <v>217</v>
      </c>
      <c r="AE49" s="130"/>
      <c r="AF49" s="130"/>
      <c r="AG49" s="130" t="s">
        <v>217</v>
      </c>
      <c r="AH49" s="131"/>
      <c r="AI49" s="129" t="s">
        <v>217</v>
      </c>
      <c r="AJ49" s="130" t="s">
        <v>217</v>
      </c>
      <c r="AK49" s="130" t="s">
        <v>217</v>
      </c>
      <c r="AL49" s="130"/>
      <c r="AM49" s="130"/>
      <c r="AN49" s="130"/>
      <c r="AO49" s="131"/>
      <c r="AP49" s="129"/>
      <c r="AQ49" s="130" t="s">
        <v>217</v>
      </c>
      <c r="AR49" s="130" t="s">
        <v>217</v>
      </c>
      <c r="AS49" s="131"/>
      <c r="AT49" s="129" t="s">
        <v>217</v>
      </c>
      <c r="AU49" s="130" t="s">
        <v>217</v>
      </c>
      <c r="AV49" s="130" t="s">
        <v>217</v>
      </c>
      <c r="AW49" s="130" t="s">
        <v>217</v>
      </c>
      <c r="AX49" s="130" t="s">
        <v>217</v>
      </c>
      <c r="AY49" s="131"/>
      <c r="AZ49" s="129" t="s">
        <v>217</v>
      </c>
      <c r="BA49" s="130" t="s">
        <v>217</v>
      </c>
      <c r="BB49" s="130"/>
      <c r="BC49" s="130"/>
      <c r="BD49" s="130"/>
      <c r="BE49" s="130" t="s">
        <v>217</v>
      </c>
      <c r="BF49" s="131"/>
      <c r="BG49" s="129" t="s">
        <v>217</v>
      </c>
      <c r="BH49" s="130" t="s">
        <v>217</v>
      </c>
      <c r="BI49" s="130" t="s">
        <v>217</v>
      </c>
      <c r="BJ49" s="130"/>
      <c r="BK49" s="131"/>
      <c r="BL49" s="129"/>
      <c r="BM49" s="130"/>
      <c r="BN49" s="130"/>
      <c r="BO49" s="130" t="s">
        <v>217</v>
      </c>
      <c r="BP49" s="130" t="s">
        <v>217</v>
      </c>
      <c r="BQ49" s="130" t="s">
        <v>217</v>
      </c>
      <c r="BR49" s="130" t="s">
        <v>217</v>
      </c>
      <c r="BS49" s="131"/>
      <c r="BT49" s="132" t="s">
        <v>217</v>
      </c>
      <c r="BU49" s="132" t="s">
        <v>217</v>
      </c>
      <c r="BV49" s="132" t="s">
        <v>217</v>
      </c>
      <c r="BW49" s="132" t="s">
        <v>217</v>
      </c>
      <c r="BX49" s="132"/>
      <c r="BY49" s="129" t="s">
        <v>217</v>
      </c>
      <c r="BZ49" s="130" t="s">
        <v>217</v>
      </c>
      <c r="CA49" s="130" t="s">
        <v>217</v>
      </c>
      <c r="CB49" s="130" t="s">
        <v>217</v>
      </c>
      <c r="CC49" s="130"/>
      <c r="CD49" s="131" t="s">
        <v>217</v>
      </c>
      <c r="CE49" s="132" t="s">
        <v>217</v>
      </c>
      <c r="CF49" s="132" t="s">
        <v>217</v>
      </c>
      <c r="CG49" s="132" t="s">
        <v>217</v>
      </c>
      <c r="CH49" s="132" t="s">
        <v>217</v>
      </c>
      <c r="CI49" s="132"/>
      <c r="CJ49" s="129" t="s">
        <v>217</v>
      </c>
      <c r="CK49" s="130" t="s">
        <v>217</v>
      </c>
      <c r="CL49" s="131"/>
      <c r="CM49" s="132" t="s">
        <v>217</v>
      </c>
      <c r="CN49" s="132"/>
      <c r="CO49" s="132"/>
      <c r="CP49" s="129" t="s">
        <v>217</v>
      </c>
      <c r="CQ49" s="130" t="s">
        <v>217</v>
      </c>
      <c r="CR49" s="130" t="s">
        <v>217</v>
      </c>
      <c r="CS49" s="130" t="s">
        <v>217</v>
      </c>
      <c r="CT49" s="131"/>
      <c r="CU49" s="129" t="s">
        <v>217</v>
      </c>
      <c r="CV49" s="130" t="s">
        <v>217</v>
      </c>
      <c r="CW49" s="130" t="s">
        <v>217</v>
      </c>
      <c r="CX49" s="130" t="s">
        <v>217</v>
      </c>
      <c r="CY49" s="130" t="s">
        <v>217</v>
      </c>
      <c r="CZ49" s="131"/>
      <c r="DA49" s="129" t="s">
        <v>217</v>
      </c>
      <c r="DB49" s="130" t="s">
        <v>217</v>
      </c>
      <c r="DC49" s="130" t="s">
        <v>217</v>
      </c>
      <c r="DD49" s="130" t="s">
        <v>217</v>
      </c>
      <c r="DE49" s="131"/>
      <c r="DF49" s="129"/>
      <c r="DG49" s="130"/>
      <c r="DH49" s="130"/>
      <c r="DI49" s="130"/>
      <c r="DJ49" s="130"/>
      <c r="DK49" s="131"/>
      <c r="DL49" s="129"/>
      <c r="DM49" s="130"/>
      <c r="DN49" s="130"/>
      <c r="DO49" s="130"/>
      <c r="DP49" s="130"/>
      <c r="DQ49" s="131"/>
      <c r="DR49" s="129"/>
      <c r="DS49" s="130"/>
      <c r="DT49" s="130"/>
      <c r="DU49" s="130"/>
      <c r="DV49" s="130"/>
      <c r="DW49" s="131"/>
      <c r="DX49" s="129"/>
      <c r="DY49" s="130"/>
      <c r="DZ49" s="130"/>
      <c r="EA49" s="130"/>
      <c r="EB49" s="130"/>
      <c r="EC49" s="131"/>
      <c r="ED49" s="129"/>
      <c r="EE49" s="130"/>
      <c r="EF49" s="130"/>
      <c r="EG49" s="130"/>
      <c r="EH49" s="130"/>
      <c r="EI49" s="130"/>
      <c r="EJ49" s="129"/>
      <c r="EK49" s="130"/>
      <c r="EL49" s="130"/>
      <c r="EM49" s="130"/>
      <c r="EN49" s="130"/>
      <c r="EO49" s="130"/>
      <c r="EP49" s="130"/>
      <c r="EQ49" s="130"/>
      <c r="ER49" s="130"/>
      <c r="ES49" s="130"/>
      <c r="ET49" s="130"/>
      <c r="EU49" s="130"/>
      <c r="EV49" s="130"/>
      <c r="EW49" s="130"/>
      <c r="EX49" s="130"/>
      <c r="EY49" s="130"/>
      <c r="EZ49" s="133"/>
      <c r="FA49" s="132"/>
      <c r="FB49" s="132"/>
      <c r="FC49" s="132"/>
      <c r="FD49" s="132"/>
      <c r="FE49" s="132"/>
      <c r="FF49" s="129"/>
      <c r="FG49" s="130"/>
      <c r="FH49" s="130"/>
      <c r="FI49" s="130"/>
      <c r="FJ49" s="129"/>
      <c r="FK49" s="130"/>
      <c r="FL49" s="131"/>
      <c r="FM49" s="129"/>
    </row>
    <row r="50" spans="1:184">
      <c r="A50" s="95" t="s">
        <v>255</v>
      </c>
      <c r="B50" s="96" t="s">
        <v>256</v>
      </c>
      <c r="C50" s="95">
        <v>3</v>
      </c>
      <c r="D50" s="95">
        <f>COUNTA(E50:KX50)</f>
        <v>1</v>
      </c>
      <c r="E50" s="129"/>
      <c r="F50" s="130"/>
      <c r="G50" s="130"/>
      <c r="H50" s="130"/>
      <c r="I50" s="130"/>
      <c r="J50" s="130"/>
      <c r="K50" s="131"/>
      <c r="L50" s="129"/>
      <c r="M50" s="130"/>
      <c r="N50" s="130"/>
      <c r="O50" s="131"/>
      <c r="P50" s="129"/>
      <c r="Q50" s="130"/>
      <c r="R50" s="130"/>
      <c r="S50" s="130"/>
      <c r="T50" s="130"/>
      <c r="U50" s="131"/>
      <c r="V50" s="129"/>
      <c r="W50" s="130"/>
      <c r="X50" s="130"/>
      <c r="Y50" s="130"/>
      <c r="Z50" s="130"/>
      <c r="AA50" s="130"/>
      <c r="AB50" s="131"/>
      <c r="AC50" s="129"/>
      <c r="AD50" s="130"/>
      <c r="AE50" s="130"/>
      <c r="AF50" s="130"/>
      <c r="AG50" s="130"/>
      <c r="AH50" s="131"/>
      <c r="AI50" s="129"/>
      <c r="AJ50" s="130"/>
      <c r="AK50" s="130"/>
      <c r="AL50" s="130"/>
      <c r="AM50" s="130"/>
      <c r="AN50" s="130"/>
      <c r="AO50" s="131"/>
      <c r="AP50" s="129"/>
      <c r="AQ50" s="130"/>
      <c r="AR50" s="130"/>
      <c r="AS50" s="131"/>
      <c r="AT50" s="129"/>
      <c r="AU50" s="130"/>
      <c r="AV50" s="130"/>
      <c r="AW50" s="130"/>
      <c r="AX50" s="130"/>
      <c r="AY50" s="131"/>
      <c r="AZ50" s="129"/>
      <c r="BA50" s="130"/>
      <c r="BB50" s="130"/>
      <c r="BC50" s="130"/>
      <c r="BD50" s="130"/>
      <c r="BE50" s="130"/>
      <c r="BF50" s="131"/>
      <c r="BG50" s="129"/>
      <c r="BH50" s="130"/>
      <c r="BI50" s="130"/>
      <c r="BJ50" s="130"/>
      <c r="BK50" s="131"/>
      <c r="BL50" s="129"/>
      <c r="BM50" s="130"/>
      <c r="BN50" s="130"/>
      <c r="BO50" s="130"/>
      <c r="BP50" s="130"/>
      <c r="BQ50" s="130"/>
      <c r="BR50" s="130"/>
      <c r="BS50" s="131"/>
      <c r="BT50" s="132"/>
      <c r="BU50" s="132"/>
      <c r="BV50" s="132"/>
      <c r="BW50" s="132"/>
      <c r="BX50" s="132"/>
      <c r="BY50" s="129"/>
      <c r="BZ50" s="130"/>
      <c r="CA50" s="130"/>
      <c r="CB50" s="130"/>
      <c r="CC50" s="130"/>
      <c r="CD50" s="131"/>
      <c r="CE50" s="132"/>
      <c r="CF50" s="132"/>
      <c r="CG50" s="132"/>
      <c r="CH50" s="132"/>
      <c r="CI50" s="132"/>
      <c r="CJ50" s="129"/>
      <c r="CK50" s="130"/>
      <c r="CL50" s="131"/>
      <c r="CM50" s="132"/>
      <c r="CN50" s="132"/>
      <c r="CO50" s="132"/>
      <c r="CP50" s="129"/>
      <c r="CQ50" s="130"/>
      <c r="CR50" s="130"/>
      <c r="CS50" s="130"/>
      <c r="CT50" s="131"/>
      <c r="CU50" s="129"/>
      <c r="CV50" s="130"/>
      <c r="CW50" s="130"/>
      <c r="CX50" s="130"/>
      <c r="CY50" s="130"/>
      <c r="CZ50" s="131"/>
      <c r="DA50" s="129"/>
      <c r="DB50" s="130"/>
      <c r="DC50" s="130"/>
      <c r="DD50" s="130"/>
      <c r="DE50" s="131"/>
      <c r="DF50" s="129"/>
      <c r="DG50" s="130"/>
      <c r="DH50" s="130"/>
      <c r="DI50" s="130"/>
      <c r="DJ50" s="130"/>
      <c r="DK50" s="131"/>
      <c r="DL50" s="129"/>
      <c r="DM50" s="130"/>
      <c r="DN50" s="130"/>
      <c r="DO50" s="130"/>
      <c r="DP50" s="130"/>
      <c r="DQ50" s="131"/>
      <c r="DR50" s="129"/>
      <c r="DS50" s="130"/>
      <c r="DT50" s="130"/>
      <c r="DU50" s="130"/>
      <c r="DV50" s="130"/>
      <c r="DW50" s="131"/>
      <c r="DX50" s="129"/>
      <c r="DY50" s="130"/>
      <c r="DZ50" s="130"/>
      <c r="EA50" s="130"/>
      <c r="EB50" s="130"/>
      <c r="EC50" s="131"/>
      <c r="ED50" s="129"/>
      <c r="EE50" s="130"/>
      <c r="EF50" s="130"/>
      <c r="EG50" s="130"/>
      <c r="EH50" s="130"/>
      <c r="EI50" s="130"/>
      <c r="EJ50" s="129"/>
      <c r="EK50" s="130"/>
      <c r="EL50" s="130"/>
      <c r="EM50" s="130"/>
      <c r="EN50" s="130"/>
      <c r="EO50" s="130"/>
      <c r="EP50" s="130"/>
      <c r="EQ50" s="130"/>
      <c r="ER50" s="130"/>
      <c r="ES50" s="130"/>
      <c r="ET50" s="130"/>
      <c r="EU50" s="130"/>
      <c r="EV50" s="130"/>
      <c r="EW50" s="130"/>
      <c r="EX50" s="130"/>
      <c r="EY50" s="130"/>
      <c r="EZ50" s="133"/>
      <c r="FA50" s="132"/>
      <c r="FB50" s="132"/>
      <c r="FC50" s="132"/>
      <c r="FD50" s="132"/>
      <c r="FE50" s="132"/>
      <c r="FF50" s="129"/>
      <c r="FG50" s="130"/>
      <c r="FH50" s="130"/>
      <c r="FI50" s="130"/>
      <c r="FJ50" s="129"/>
      <c r="FK50" s="130"/>
      <c r="FL50" s="131"/>
      <c r="FM50" s="129"/>
      <c r="GB50" s="97" t="s">
        <v>149</v>
      </c>
    </row>
    <row r="51" spans="1:184">
      <c r="A51" s="95" t="s">
        <v>250</v>
      </c>
      <c r="B51" s="96" t="s">
        <v>257</v>
      </c>
      <c r="C51" s="95">
        <v>3</v>
      </c>
      <c r="D51" s="95">
        <f>COUNTA(E51:KX51)</f>
        <v>3</v>
      </c>
      <c r="E51" s="129"/>
      <c r="F51" s="130"/>
      <c r="G51" s="130"/>
      <c r="H51" s="130"/>
      <c r="I51" s="130" t="s">
        <v>217</v>
      </c>
      <c r="J51" s="130"/>
      <c r="K51" s="131"/>
      <c r="L51" s="129"/>
      <c r="M51" s="130"/>
      <c r="N51" s="130"/>
      <c r="O51" s="131"/>
      <c r="P51" s="129"/>
      <c r="Q51" s="130"/>
      <c r="R51" s="130"/>
      <c r="S51" s="130"/>
      <c r="T51" s="130"/>
      <c r="U51" s="131"/>
      <c r="V51" s="129"/>
      <c r="W51" s="130"/>
      <c r="X51" s="130"/>
      <c r="Y51" s="130"/>
      <c r="Z51" s="130"/>
      <c r="AA51" s="130"/>
      <c r="AB51" s="131"/>
      <c r="AC51" s="129"/>
      <c r="AD51" s="130"/>
      <c r="AE51" s="130"/>
      <c r="AF51" s="130"/>
      <c r="AG51" s="130"/>
      <c r="AH51" s="131"/>
      <c r="AI51" s="129"/>
      <c r="AJ51" s="130"/>
      <c r="AK51" s="130"/>
      <c r="AL51" s="130"/>
      <c r="AM51" s="130" t="s">
        <v>217</v>
      </c>
      <c r="AN51" s="130"/>
      <c r="AO51" s="131"/>
      <c r="AP51" s="129"/>
      <c r="AQ51" s="130"/>
      <c r="AR51" s="130"/>
      <c r="AS51" s="131"/>
      <c r="AT51" s="129"/>
      <c r="AU51" s="130"/>
      <c r="AV51" s="130"/>
      <c r="AW51" s="130"/>
      <c r="AX51" s="130"/>
      <c r="AY51" s="131"/>
      <c r="AZ51" s="129"/>
      <c r="BA51" s="130"/>
      <c r="BB51" s="130"/>
      <c r="BC51" s="130"/>
      <c r="BD51" s="130"/>
      <c r="BE51" s="130"/>
      <c r="BF51" s="131"/>
      <c r="BG51" s="129"/>
      <c r="BH51" s="130"/>
      <c r="BI51" s="130"/>
      <c r="BJ51" s="130"/>
      <c r="BK51" s="131"/>
      <c r="BL51" s="129"/>
      <c r="BM51" s="130"/>
      <c r="BN51" s="130" t="s">
        <v>217</v>
      </c>
      <c r="BO51" s="130"/>
      <c r="BP51" s="130"/>
      <c r="BQ51" s="130"/>
      <c r="BR51" s="130"/>
      <c r="BS51" s="131"/>
      <c r="BT51" s="132"/>
      <c r="BU51" s="132"/>
      <c r="BV51" s="132"/>
      <c r="BW51" s="132"/>
      <c r="BX51" s="132"/>
      <c r="BY51" s="129"/>
      <c r="BZ51" s="130"/>
      <c r="CA51" s="130"/>
      <c r="CB51" s="130"/>
      <c r="CC51" s="130"/>
      <c r="CD51" s="131"/>
      <c r="CE51" s="132"/>
      <c r="CF51" s="132"/>
      <c r="CG51" s="132"/>
      <c r="CH51" s="132"/>
      <c r="CI51" s="132"/>
      <c r="CJ51" s="129"/>
      <c r="CK51" s="130"/>
      <c r="CL51" s="131"/>
      <c r="CM51" s="132"/>
      <c r="CN51" s="132"/>
      <c r="CO51" s="132"/>
      <c r="CP51" s="129"/>
      <c r="CQ51" s="130"/>
      <c r="CR51" s="130"/>
      <c r="CS51" s="130"/>
      <c r="CT51" s="131"/>
      <c r="CU51" s="129"/>
      <c r="CV51" s="130"/>
      <c r="CW51" s="130"/>
      <c r="CX51" s="130"/>
      <c r="CY51" s="130"/>
      <c r="CZ51" s="131"/>
      <c r="DA51" s="129"/>
      <c r="DB51" s="130"/>
      <c r="DC51" s="130"/>
      <c r="DD51" s="130"/>
      <c r="DE51" s="131"/>
      <c r="DF51" s="129"/>
      <c r="DG51" s="130"/>
      <c r="DH51" s="130"/>
      <c r="DI51" s="130"/>
      <c r="DJ51" s="130"/>
      <c r="DK51" s="131"/>
      <c r="DL51" s="129"/>
      <c r="DM51" s="130"/>
      <c r="DN51" s="130"/>
      <c r="DO51" s="130"/>
      <c r="DP51" s="130"/>
      <c r="DQ51" s="131"/>
      <c r="DR51" s="129"/>
      <c r="DS51" s="130"/>
      <c r="DT51" s="130"/>
      <c r="DU51" s="130"/>
      <c r="DV51" s="130"/>
      <c r="DW51" s="131"/>
      <c r="DX51" s="129"/>
      <c r="DY51" s="130"/>
      <c r="DZ51" s="130"/>
      <c r="EA51" s="130"/>
      <c r="EB51" s="130"/>
      <c r="EC51" s="131"/>
      <c r="ED51" s="129"/>
      <c r="EE51" s="130"/>
      <c r="EF51" s="130"/>
      <c r="EG51" s="130"/>
      <c r="EH51" s="130"/>
      <c r="EI51" s="130"/>
      <c r="EJ51" s="129"/>
      <c r="EK51" s="130"/>
      <c r="EL51" s="130"/>
      <c r="EM51" s="130"/>
      <c r="EN51" s="130"/>
      <c r="EO51" s="130"/>
      <c r="EP51" s="130"/>
      <c r="EQ51" s="130"/>
      <c r="ER51" s="130"/>
      <c r="ES51" s="130"/>
      <c r="ET51" s="130"/>
      <c r="EU51" s="130"/>
      <c r="EV51" s="130"/>
      <c r="EW51" s="130"/>
      <c r="EX51" s="130"/>
      <c r="EY51" s="130"/>
      <c r="EZ51" s="133"/>
      <c r="FA51" s="132"/>
      <c r="FB51" s="132"/>
      <c r="FC51" s="132"/>
      <c r="FD51" s="132"/>
      <c r="FE51" s="132"/>
      <c r="FF51" s="129"/>
      <c r="FG51" s="130"/>
      <c r="FH51" s="130"/>
      <c r="FI51" s="130"/>
      <c r="FJ51" s="129"/>
      <c r="FK51" s="130"/>
      <c r="FL51" s="131"/>
      <c r="FM51" s="129"/>
    </row>
    <row r="52" spans="1:184">
      <c r="A52" s="95" t="s">
        <v>250</v>
      </c>
      <c r="B52" s="96" t="s">
        <v>258</v>
      </c>
      <c r="C52" s="95">
        <v>2</v>
      </c>
      <c r="D52" s="95">
        <f>COUNTA(E52:KX52)</f>
        <v>9</v>
      </c>
      <c r="E52" s="129"/>
      <c r="F52" s="130"/>
      <c r="G52" s="130"/>
      <c r="H52" s="130"/>
      <c r="I52" s="130"/>
      <c r="J52" s="130" t="s">
        <v>217</v>
      </c>
      <c r="K52" s="131"/>
      <c r="L52" s="129" t="s">
        <v>217</v>
      </c>
      <c r="M52" s="130"/>
      <c r="N52" s="130"/>
      <c r="O52" s="131"/>
      <c r="P52" s="129"/>
      <c r="Q52" s="130"/>
      <c r="R52" s="130"/>
      <c r="S52" s="130"/>
      <c r="T52" s="130"/>
      <c r="U52" s="131"/>
      <c r="V52" s="129"/>
      <c r="W52" s="130"/>
      <c r="X52" s="130"/>
      <c r="Y52" s="130"/>
      <c r="Z52" s="130" t="s">
        <v>217</v>
      </c>
      <c r="AA52" s="130"/>
      <c r="AB52" s="131"/>
      <c r="AC52" s="129"/>
      <c r="AD52" s="130"/>
      <c r="AE52" s="130"/>
      <c r="AF52" s="130"/>
      <c r="AG52" s="130"/>
      <c r="AH52" s="131"/>
      <c r="AI52" s="129"/>
      <c r="AJ52" s="130"/>
      <c r="AK52" s="130"/>
      <c r="AL52" s="130"/>
      <c r="AM52" s="130"/>
      <c r="AN52" s="130"/>
      <c r="AO52" s="131"/>
      <c r="AP52" s="129" t="s">
        <v>217</v>
      </c>
      <c r="AQ52" s="130"/>
      <c r="AR52" s="130"/>
      <c r="AS52" s="131"/>
      <c r="AT52" s="129"/>
      <c r="AU52" s="130"/>
      <c r="AV52" s="130"/>
      <c r="AW52" s="130"/>
      <c r="AX52" s="130"/>
      <c r="AY52" s="131"/>
      <c r="AZ52" s="129"/>
      <c r="BA52" s="130"/>
      <c r="BB52" s="130" t="s">
        <v>149</v>
      </c>
      <c r="BC52" s="130"/>
      <c r="BD52" s="130"/>
      <c r="BE52" s="130"/>
      <c r="BF52" s="131"/>
      <c r="BG52" s="129"/>
      <c r="BH52" s="130"/>
      <c r="BI52" s="130"/>
      <c r="BJ52" s="130"/>
      <c r="BK52" s="131"/>
      <c r="BL52" s="129" t="s">
        <v>217</v>
      </c>
      <c r="BM52" s="130"/>
      <c r="BN52" s="130"/>
      <c r="BO52" s="130"/>
      <c r="BP52" s="130"/>
      <c r="BQ52" s="130"/>
      <c r="BR52" s="130"/>
      <c r="BS52" s="131"/>
      <c r="BT52" s="132"/>
      <c r="BU52" s="132"/>
      <c r="BV52" s="132"/>
      <c r="BW52" s="132"/>
      <c r="BX52" s="132"/>
      <c r="BY52" s="129"/>
      <c r="BZ52" s="130"/>
      <c r="CA52" s="130"/>
      <c r="CB52" s="130"/>
      <c r="CC52" s="130"/>
      <c r="CD52" s="131"/>
      <c r="CE52" s="132"/>
      <c r="CF52" s="132"/>
      <c r="CG52" s="132"/>
      <c r="CH52" s="132"/>
      <c r="CI52" s="132"/>
      <c r="CJ52" s="129"/>
      <c r="CK52" s="130"/>
      <c r="CL52" s="131"/>
      <c r="CM52" s="132"/>
      <c r="CN52" s="132"/>
      <c r="CO52" s="132"/>
      <c r="CP52" s="129"/>
      <c r="CQ52" s="130"/>
      <c r="CR52" s="130"/>
      <c r="CS52" s="130"/>
      <c r="CT52" s="131"/>
      <c r="CU52" s="129" t="s">
        <v>217</v>
      </c>
      <c r="CV52" s="130" t="s">
        <v>259</v>
      </c>
      <c r="CW52" s="130"/>
      <c r="CX52" s="130"/>
      <c r="CY52" s="130"/>
      <c r="CZ52" s="131"/>
      <c r="DA52" s="129" t="s">
        <v>217</v>
      </c>
      <c r="DB52" s="130"/>
      <c r="DC52" s="130"/>
      <c r="DD52" s="130"/>
      <c r="DE52" s="131"/>
      <c r="DF52" s="129"/>
      <c r="DG52" s="130"/>
      <c r="DH52" s="130"/>
      <c r="DI52" s="130"/>
      <c r="DJ52" s="130"/>
      <c r="DK52" s="131"/>
      <c r="DL52" s="129"/>
      <c r="DM52" s="130"/>
      <c r="DN52" s="130"/>
      <c r="DO52" s="130"/>
      <c r="DP52" s="130"/>
      <c r="DQ52" s="131"/>
      <c r="DR52" s="129"/>
      <c r="DS52" s="130"/>
      <c r="DT52" s="130"/>
      <c r="DU52" s="130"/>
      <c r="DV52" s="130"/>
      <c r="DW52" s="131"/>
      <c r="DX52" s="129"/>
      <c r="DY52" s="130"/>
      <c r="DZ52" s="130"/>
      <c r="EA52" s="130"/>
      <c r="EB52" s="130"/>
      <c r="EC52" s="131"/>
      <c r="ED52" s="129"/>
      <c r="EE52" s="130"/>
      <c r="EF52" s="130"/>
      <c r="EG52" s="130"/>
      <c r="EH52" s="130"/>
      <c r="EI52" s="130"/>
      <c r="EJ52" s="129"/>
      <c r="EK52" s="130"/>
      <c r="EL52" s="130"/>
      <c r="EM52" s="130"/>
      <c r="EN52" s="130"/>
      <c r="EO52" s="130"/>
      <c r="EP52" s="130"/>
      <c r="EQ52" s="130"/>
      <c r="ER52" s="130"/>
      <c r="ES52" s="130"/>
      <c r="ET52" s="130"/>
      <c r="EU52" s="130"/>
      <c r="EV52" s="130"/>
      <c r="EW52" s="130"/>
      <c r="EX52" s="130"/>
      <c r="EY52" s="130"/>
      <c r="EZ52" s="133"/>
      <c r="FA52" s="132"/>
      <c r="FB52" s="132"/>
      <c r="FC52" s="132"/>
      <c r="FD52" s="132"/>
      <c r="FE52" s="132"/>
      <c r="FF52" s="129"/>
      <c r="FG52" s="130"/>
      <c r="FH52" s="130"/>
      <c r="FI52" s="130"/>
      <c r="FJ52" s="129"/>
      <c r="FK52" s="130"/>
      <c r="FL52" s="131"/>
      <c r="FM52" s="129"/>
    </row>
    <row r="53" spans="1:184">
      <c r="A53" s="95" t="s">
        <v>250</v>
      </c>
      <c r="B53" s="96" t="s">
        <v>260</v>
      </c>
      <c r="C53" s="95">
        <v>1</v>
      </c>
      <c r="D53" s="95">
        <f>COUNTA(E53:KX53)</f>
        <v>18</v>
      </c>
      <c r="E53" s="129"/>
      <c r="F53" s="130" t="s">
        <v>217</v>
      </c>
      <c r="G53" s="130" t="s">
        <v>217</v>
      </c>
      <c r="H53" s="130"/>
      <c r="I53" s="130"/>
      <c r="J53" s="130" t="s">
        <v>217</v>
      </c>
      <c r="K53" s="131"/>
      <c r="L53" s="129"/>
      <c r="M53" s="130"/>
      <c r="N53" s="130" t="s">
        <v>217</v>
      </c>
      <c r="O53" s="131"/>
      <c r="P53" s="129"/>
      <c r="Q53" s="130"/>
      <c r="R53" s="130"/>
      <c r="S53" s="130"/>
      <c r="T53" s="130"/>
      <c r="U53" s="131"/>
      <c r="V53" s="129" t="s">
        <v>217</v>
      </c>
      <c r="W53" s="130"/>
      <c r="X53" s="130"/>
      <c r="Y53" s="130"/>
      <c r="Z53" s="130"/>
      <c r="AA53" s="130"/>
      <c r="AB53" s="131"/>
      <c r="AC53" s="129" t="s">
        <v>217</v>
      </c>
      <c r="AD53" s="130"/>
      <c r="AE53" s="130"/>
      <c r="AF53" s="130"/>
      <c r="AG53" s="130"/>
      <c r="AH53" s="131"/>
      <c r="AI53" s="129"/>
      <c r="AJ53" s="130"/>
      <c r="AK53" s="130"/>
      <c r="AL53" s="130"/>
      <c r="AM53" s="130"/>
      <c r="AN53" s="130"/>
      <c r="AO53" s="131"/>
      <c r="AP53" s="129"/>
      <c r="AQ53" s="130"/>
      <c r="AR53" s="130"/>
      <c r="AS53" s="131"/>
      <c r="AT53" s="129"/>
      <c r="AU53" s="130"/>
      <c r="AV53" s="130"/>
      <c r="AW53" s="130"/>
      <c r="AX53" s="130" t="s">
        <v>217</v>
      </c>
      <c r="AY53" s="131"/>
      <c r="AZ53" s="129"/>
      <c r="BA53" s="130"/>
      <c r="BB53" s="130"/>
      <c r="BC53" s="130"/>
      <c r="BD53" s="130"/>
      <c r="BE53" s="130"/>
      <c r="BF53" s="131"/>
      <c r="BG53" s="129"/>
      <c r="BH53" s="130"/>
      <c r="BI53" s="130"/>
      <c r="BJ53" s="130"/>
      <c r="BK53" s="131"/>
      <c r="BL53" s="129"/>
      <c r="BM53" s="130" t="s">
        <v>217</v>
      </c>
      <c r="BN53" s="130" t="s">
        <v>217</v>
      </c>
      <c r="BO53" s="130"/>
      <c r="BP53" s="130"/>
      <c r="BQ53" s="130"/>
      <c r="BR53" s="130"/>
      <c r="BS53" s="131"/>
      <c r="BT53" s="132" t="s">
        <v>217</v>
      </c>
      <c r="BU53" s="132"/>
      <c r="BV53" s="132" t="s">
        <v>217</v>
      </c>
      <c r="BW53" s="132"/>
      <c r="BX53" s="132"/>
      <c r="BY53" s="129" t="s">
        <v>217</v>
      </c>
      <c r="BZ53" s="130"/>
      <c r="CA53" s="130" t="s">
        <v>217</v>
      </c>
      <c r="CB53" s="130" t="s">
        <v>217</v>
      </c>
      <c r="CC53" s="130"/>
      <c r="CD53" s="131"/>
      <c r="CE53" s="132"/>
      <c r="CF53" s="132"/>
      <c r="CG53" s="132" t="s">
        <v>217</v>
      </c>
      <c r="CH53" s="132"/>
      <c r="CI53" s="132"/>
      <c r="CJ53" s="129"/>
      <c r="CK53" s="130"/>
      <c r="CL53" s="131"/>
      <c r="CM53" s="132"/>
      <c r="CN53" s="132"/>
      <c r="CO53" s="132"/>
      <c r="CP53" s="129"/>
      <c r="CQ53" s="130"/>
      <c r="CR53" s="130" t="s">
        <v>217</v>
      </c>
      <c r="CS53" s="130"/>
      <c r="CT53" s="131"/>
      <c r="CU53" s="129"/>
      <c r="CV53" s="130"/>
      <c r="CW53" s="130"/>
      <c r="CX53" s="130" t="s">
        <v>217</v>
      </c>
      <c r="CY53" s="130"/>
      <c r="CZ53" s="131"/>
      <c r="DA53" s="129"/>
      <c r="DB53" s="130"/>
      <c r="DC53" s="130" t="s">
        <v>217</v>
      </c>
      <c r="DD53" s="130"/>
      <c r="DE53" s="131"/>
      <c r="DF53" s="129"/>
      <c r="DG53" s="130"/>
      <c r="DH53" s="130"/>
      <c r="DI53" s="130"/>
      <c r="DJ53" s="130"/>
      <c r="DK53" s="131"/>
      <c r="DL53" s="129"/>
      <c r="DM53" s="130"/>
      <c r="DN53" s="130"/>
      <c r="DO53" s="130"/>
      <c r="DP53" s="130"/>
      <c r="DQ53" s="131"/>
      <c r="DR53" s="129"/>
      <c r="DS53" s="130"/>
      <c r="DT53" s="130"/>
      <c r="DU53" s="130"/>
      <c r="DV53" s="130"/>
      <c r="DW53" s="131"/>
      <c r="DX53" s="129"/>
      <c r="DY53" s="130"/>
      <c r="DZ53" s="130"/>
      <c r="EA53" s="130"/>
      <c r="EB53" s="130"/>
      <c r="EC53" s="131"/>
      <c r="ED53" s="129"/>
      <c r="EE53" s="130"/>
      <c r="EF53" s="130"/>
      <c r="EG53" s="130"/>
      <c r="EH53" s="130"/>
      <c r="EI53" s="130"/>
      <c r="EJ53" s="129"/>
      <c r="EK53" s="130"/>
      <c r="EL53" s="130"/>
      <c r="EM53" s="130"/>
      <c r="EN53" s="130"/>
      <c r="EO53" s="130"/>
      <c r="EP53" s="130"/>
      <c r="EQ53" s="130"/>
      <c r="ER53" s="130"/>
      <c r="ES53" s="130"/>
      <c r="ET53" s="130"/>
      <c r="EU53" s="130"/>
      <c r="EV53" s="130"/>
      <c r="EW53" s="130"/>
      <c r="EX53" s="130"/>
      <c r="EY53" s="130"/>
      <c r="EZ53" s="133"/>
      <c r="FA53" s="132"/>
      <c r="FB53" s="132"/>
      <c r="FC53" s="132"/>
      <c r="FD53" s="132"/>
      <c r="FE53" s="132"/>
      <c r="FF53" s="129"/>
      <c r="FG53" s="130"/>
      <c r="FH53" s="130"/>
      <c r="FI53" s="130"/>
      <c r="FJ53" s="129"/>
      <c r="FK53" s="130"/>
      <c r="FL53" s="131"/>
      <c r="FM53" s="129"/>
    </row>
    <row r="54" spans="1:184">
      <c r="A54" s="95" t="s">
        <v>250</v>
      </c>
      <c r="B54" s="96" t="s">
        <v>261</v>
      </c>
      <c r="C54" s="95">
        <v>1</v>
      </c>
      <c r="D54" s="95">
        <f>COUNTA(E54:KX54)</f>
        <v>56</v>
      </c>
      <c r="E54" s="129" t="s">
        <v>217</v>
      </c>
      <c r="F54" s="130" t="s">
        <v>217</v>
      </c>
      <c r="G54" s="130" t="s">
        <v>217</v>
      </c>
      <c r="H54" s="130"/>
      <c r="I54" s="130"/>
      <c r="J54" s="130"/>
      <c r="K54" s="131"/>
      <c r="L54" s="129"/>
      <c r="M54" s="130" t="s">
        <v>217</v>
      </c>
      <c r="N54" s="130" t="s">
        <v>217</v>
      </c>
      <c r="O54" s="131"/>
      <c r="P54" s="129" t="s">
        <v>217</v>
      </c>
      <c r="Q54" s="130" t="s">
        <v>217</v>
      </c>
      <c r="R54" s="130" t="s">
        <v>217</v>
      </c>
      <c r="S54" s="130"/>
      <c r="T54" s="130" t="s">
        <v>217</v>
      </c>
      <c r="U54" s="131"/>
      <c r="V54" s="129" t="s">
        <v>217</v>
      </c>
      <c r="W54" s="130" t="s">
        <v>217</v>
      </c>
      <c r="X54" s="130" t="s">
        <v>217</v>
      </c>
      <c r="Y54" s="130" t="s">
        <v>217</v>
      </c>
      <c r="Z54" s="130" t="s">
        <v>217</v>
      </c>
      <c r="AA54" s="130" t="s">
        <v>217</v>
      </c>
      <c r="AB54" s="131"/>
      <c r="AC54" s="129" t="s">
        <v>217</v>
      </c>
      <c r="AD54" s="130" t="s">
        <v>217</v>
      </c>
      <c r="AE54" s="130"/>
      <c r="AF54" s="130"/>
      <c r="AG54" s="130" t="s">
        <v>217</v>
      </c>
      <c r="AH54" s="131"/>
      <c r="AI54" s="129" t="s">
        <v>217</v>
      </c>
      <c r="AJ54" s="130" t="s">
        <v>217</v>
      </c>
      <c r="AK54" s="130" t="s">
        <v>217</v>
      </c>
      <c r="AL54" s="130"/>
      <c r="AM54" s="130"/>
      <c r="AN54" s="130"/>
      <c r="AO54" s="131"/>
      <c r="AP54" s="129"/>
      <c r="AQ54" s="130" t="s">
        <v>217</v>
      </c>
      <c r="AR54" s="130" t="s">
        <v>217</v>
      </c>
      <c r="AS54" s="131"/>
      <c r="AT54" s="129"/>
      <c r="AU54" s="130"/>
      <c r="AV54" s="130"/>
      <c r="AW54" s="130" t="s">
        <v>217</v>
      </c>
      <c r="AX54" s="130"/>
      <c r="AY54" s="131"/>
      <c r="AZ54" s="129" t="s">
        <v>217</v>
      </c>
      <c r="BA54" s="130"/>
      <c r="BB54" s="130"/>
      <c r="BC54" s="130"/>
      <c r="BD54" s="130"/>
      <c r="BE54" s="130"/>
      <c r="BF54" s="131"/>
      <c r="BG54" s="129"/>
      <c r="BH54" s="130"/>
      <c r="BI54" s="130"/>
      <c r="BJ54" s="130"/>
      <c r="BK54" s="131"/>
      <c r="BL54" s="129"/>
      <c r="BM54" s="130"/>
      <c r="BN54" s="130"/>
      <c r="BO54" s="130" t="s">
        <v>217</v>
      </c>
      <c r="BP54" s="130" t="s">
        <v>217</v>
      </c>
      <c r="BQ54" s="130" t="s">
        <v>217</v>
      </c>
      <c r="BR54" s="130" t="s">
        <v>217</v>
      </c>
      <c r="BS54" s="131"/>
      <c r="BT54" s="132"/>
      <c r="BU54" s="132" t="s">
        <v>217</v>
      </c>
      <c r="BV54" s="132" t="s">
        <v>217</v>
      </c>
      <c r="BW54" s="132" t="s">
        <v>217</v>
      </c>
      <c r="BX54" s="132"/>
      <c r="BY54" s="129" t="s">
        <v>217</v>
      </c>
      <c r="BZ54" s="130" t="s">
        <v>217</v>
      </c>
      <c r="CA54" s="130" t="s">
        <v>217</v>
      </c>
      <c r="CB54" s="130"/>
      <c r="CC54" s="130"/>
      <c r="CD54" s="131" t="s">
        <v>217</v>
      </c>
      <c r="CE54" s="132" t="s">
        <v>217</v>
      </c>
      <c r="CF54" s="132" t="s">
        <v>217</v>
      </c>
      <c r="CG54" s="132" t="s">
        <v>217</v>
      </c>
      <c r="CH54" s="132" t="s">
        <v>217</v>
      </c>
      <c r="CI54" s="132"/>
      <c r="CJ54" s="129" t="s">
        <v>217</v>
      </c>
      <c r="CK54" s="130" t="s">
        <v>217</v>
      </c>
      <c r="CL54" s="131"/>
      <c r="CM54" s="132" t="s">
        <v>217</v>
      </c>
      <c r="CN54" s="132"/>
      <c r="CO54" s="132"/>
      <c r="CP54" s="129" t="s">
        <v>217</v>
      </c>
      <c r="CQ54" s="130" t="s">
        <v>217</v>
      </c>
      <c r="CR54" s="130" t="s">
        <v>217</v>
      </c>
      <c r="CS54" s="130" t="s">
        <v>217</v>
      </c>
      <c r="CT54" s="131"/>
      <c r="CU54" s="129" t="s">
        <v>217</v>
      </c>
      <c r="CV54" s="130" t="s">
        <v>217</v>
      </c>
      <c r="CW54" s="130" t="s">
        <v>217</v>
      </c>
      <c r="CX54" s="130" t="s">
        <v>217</v>
      </c>
      <c r="CY54" s="130" t="s">
        <v>217</v>
      </c>
      <c r="CZ54" s="131"/>
      <c r="DA54" s="129" t="s">
        <v>217</v>
      </c>
      <c r="DB54" s="130" t="s">
        <v>217</v>
      </c>
      <c r="DC54" s="130" t="s">
        <v>217</v>
      </c>
      <c r="DD54" s="130" t="s">
        <v>217</v>
      </c>
      <c r="DE54" s="131"/>
      <c r="DF54" s="129"/>
      <c r="DG54" s="130"/>
      <c r="DH54" s="130"/>
      <c r="DI54" s="130"/>
      <c r="DJ54" s="130"/>
      <c r="DK54" s="131"/>
      <c r="DL54" s="129"/>
      <c r="DM54" s="130"/>
      <c r="DN54" s="130"/>
      <c r="DO54" s="130"/>
      <c r="DP54" s="130"/>
      <c r="DQ54" s="131"/>
      <c r="DR54" s="129"/>
      <c r="DS54" s="130"/>
      <c r="DT54" s="130"/>
      <c r="DU54" s="130"/>
      <c r="DV54" s="130"/>
      <c r="DW54" s="131"/>
      <c r="DX54" s="129"/>
      <c r="DY54" s="130"/>
      <c r="DZ54" s="130"/>
      <c r="EA54" s="130"/>
      <c r="EB54" s="130"/>
      <c r="EC54" s="131"/>
      <c r="ED54" s="129"/>
      <c r="EE54" s="130"/>
      <c r="EF54" s="130"/>
      <c r="EG54" s="130"/>
      <c r="EH54" s="130"/>
      <c r="EI54" s="130"/>
      <c r="EJ54" s="129"/>
      <c r="EK54" s="130"/>
      <c r="EL54" s="130"/>
      <c r="EM54" s="130"/>
      <c r="EN54" s="130"/>
      <c r="EO54" s="130"/>
      <c r="EP54" s="130"/>
      <c r="EQ54" s="130"/>
      <c r="ER54" s="130"/>
      <c r="ES54" s="130"/>
      <c r="ET54" s="130"/>
      <c r="EU54" s="130"/>
      <c r="EV54" s="130"/>
      <c r="EW54" s="130"/>
      <c r="EX54" s="130"/>
      <c r="EY54" s="130"/>
      <c r="EZ54" s="133"/>
      <c r="FA54" s="132"/>
      <c r="FB54" s="132"/>
      <c r="FC54" s="132"/>
      <c r="FD54" s="132"/>
      <c r="FE54" s="132"/>
      <c r="FF54" s="129"/>
      <c r="FG54" s="130"/>
      <c r="FH54" s="130"/>
      <c r="FI54" s="130"/>
      <c r="FJ54" s="129"/>
      <c r="FK54" s="130"/>
      <c r="FL54" s="131"/>
      <c r="FM54" s="129"/>
    </row>
    <row r="55" spans="1:184">
      <c r="A55" s="95" t="s">
        <v>255</v>
      </c>
      <c r="B55" s="96" t="s">
        <v>262</v>
      </c>
      <c r="C55" s="95">
        <v>1</v>
      </c>
      <c r="D55" s="95">
        <f>COUNTA(E55:KX55)</f>
        <v>1</v>
      </c>
      <c r="E55" s="129"/>
      <c r="F55" s="130"/>
      <c r="G55" s="130"/>
      <c r="H55" s="130"/>
      <c r="I55" s="130"/>
      <c r="J55" s="130"/>
      <c r="K55" s="131"/>
      <c r="L55" s="129"/>
      <c r="M55" s="130"/>
      <c r="N55" s="130"/>
      <c r="O55" s="131"/>
      <c r="P55" s="129"/>
      <c r="Q55" s="130"/>
      <c r="R55" s="130"/>
      <c r="S55" s="130"/>
      <c r="T55" s="130"/>
      <c r="U55" s="131"/>
      <c r="V55" s="129"/>
      <c r="W55" s="130"/>
      <c r="X55" s="130"/>
      <c r="Y55" s="130"/>
      <c r="Z55" s="130"/>
      <c r="AA55" s="130"/>
      <c r="AB55" s="131"/>
      <c r="AC55" s="129"/>
      <c r="AD55" s="130"/>
      <c r="AE55" s="130"/>
      <c r="AF55" s="130"/>
      <c r="AG55" s="130"/>
      <c r="AH55" s="131"/>
      <c r="AI55" s="129"/>
      <c r="AJ55" s="130"/>
      <c r="AK55" s="130"/>
      <c r="AL55" s="130"/>
      <c r="AM55" s="130"/>
      <c r="AN55" s="130"/>
      <c r="AO55" s="131"/>
      <c r="AP55" s="129"/>
      <c r="AQ55" s="130"/>
      <c r="AR55" s="130"/>
      <c r="AS55" s="131"/>
      <c r="AT55" s="129"/>
      <c r="AU55" s="130"/>
      <c r="AV55" s="130"/>
      <c r="AW55" s="130"/>
      <c r="AX55" s="130"/>
      <c r="AY55" s="131"/>
      <c r="AZ55" s="129"/>
      <c r="BA55" s="130"/>
      <c r="BB55" s="130"/>
      <c r="BC55" s="130"/>
      <c r="BD55" s="130"/>
      <c r="BE55" s="130"/>
      <c r="BF55" s="131"/>
      <c r="BG55" s="129"/>
      <c r="BH55" s="130"/>
      <c r="BI55" s="130"/>
      <c r="BJ55" s="130"/>
      <c r="BK55" s="131"/>
      <c r="BL55" s="129"/>
      <c r="BM55" s="130"/>
      <c r="BN55" s="130"/>
      <c r="BO55" s="130"/>
      <c r="BP55" s="130"/>
      <c r="BQ55" s="130"/>
      <c r="BR55" s="130"/>
      <c r="BS55" s="131"/>
      <c r="BT55" s="132"/>
      <c r="BU55" s="132"/>
      <c r="BV55" s="132"/>
      <c r="BW55" s="132"/>
      <c r="BX55" s="132"/>
      <c r="BY55" s="129"/>
      <c r="BZ55" s="130"/>
      <c r="CA55" s="130"/>
      <c r="CB55" s="130"/>
      <c r="CC55" s="130"/>
      <c r="CD55" s="131"/>
      <c r="CE55" s="132"/>
      <c r="CF55" s="132"/>
      <c r="CG55" s="132"/>
      <c r="CH55" s="132"/>
      <c r="CI55" s="132"/>
      <c r="CJ55" s="129"/>
      <c r="CK55" s="130"/>
      <c r="CL55" s="131"/>
      <c r="CM55" s="132"/>
      <c r="CN55" s="132"/>
      <c r="CO55" s="132"/>
      <c r="CP55" s="129"/>
      <c r="CQ55" s="130"/>
      <c r="CR55" s="130"/>
      <c r="CS55" s="130"/>
      <c r="CT55" s="131"/>
      <c r="CU55" s="129"/>
      <c r="CV55" s="130"/>
      <c r="CW55" s="130"/>
      <c r="CX55" s="130"/>
      <c r="CY55" s="130"/>
      <c r="CZ55" s="131"/>
      <c r="DA55" s="129"/>
      <c r="DB55" s="130"/>
      <c r="DC55" s="130"/>
      <c r="DD55" s="130"/>
      <c r="DE55" s="131"/>
      <c r="DF55" s="129"/>
      <c r="DG55" s="130"/>
      <c r="DH55" s="130"/>
      <c r="DI55" s="130"/>
      <c r="DJ55" s="130"/>
      <c r="DK55" s="131"/>
      <c r="DL55" s="129"/>
      <c r="DM55" s="130"/>
      <c r="DN55" s="130"/>
      <c r="DO55" s="130"/>
      <c r="DP55" s="130"/>
      <c r="DQ55" s="131"/>
      <c r="DR55" s="129"/>
      <c r="DS55" s="130"/>
      <c r="DT55" s="130"/>
      <c r="DU55" s="130"/>
      <c r="DV55" s="130"/>
      <c r="DW55" s="131"/>
      <c r="DX55" s="129"/>
      <c r="DY55" s="130"/>
      <c r="DZ55" s="130"/>
      <c r="EA55" s="130"/>
      <c r="EB55" s="130"/>
      <c r="EC55" s="131"/>
      <c r="ED55" s="129"/>
      <c r="EE55" s="130"/>
      <c r="EF55" s="130"/>
      <c r="EG55" s="130"/>
      <c r="EH55" s="130"/>
      <c r="EI55" s="130"/>
      <c r="EJ55" s="129"/>
      <c r="EK55" s="130"/>
      <c r="EL55" s="130"/>
      <c r="EM55" s="130"/>
      <c r="EN55" s="130"/>
      <c r="EO55" s="130"/>
      <c r="EP55" s="130"/>
      <c r="EQ55" s="130"/>
      <c r="ER55" s="130"/>
      <c r="ES55" s="130"/>
      <c r="ET55" s="130"/>
      <c r="EU55" s="130"/>
      <c r="EV55" s="130"/>
      <c r="EW55" s="130"/>
      <c r="EX55" s="130"/>
      <c r="EY55" s="130"/>
      <c r="EZ55" s="133"/>
      <c r="FA55" s="132"/>
      <c r="FB55" s="132"/>
      <c r="FC55" s="132"/>
      <c r="FD55" s="132"/>
      <c r="FE55" s="132"/>
      <c r="FF55" s="129"/>
      <c r="FG55" s="130"/>
      <c r="FH55" s="130"/>
      <c r="FI55" s="130"/>
      <c r="FJ55" s="129"/>
      <c r="FK55" s="130"/>
      <c r="FL55" s="131"/>
      <c r="FM55" s="129"/>
      <c r="FY55" s="97" t="s">
        <v>149</v>
      </c>
    </row>
    <row r="56" spans="1:184">
      <c r="A56" s="95" t="s">
        <v>263</v>
      </c>
      <c r="B56" s="96" t="s">
        <v>264</v>
      </c>
      <c r="C56" s="95">
        <v>1</v>
      </c>
      <c r="D56" s="95">
        <f>COUNTA(E56:KX56)</f>
        <v>1</v>
      </c>
      <c r="E56" s="129"/>
      <c r="F56" s="130"/>
      <c r="G56" s="130"/>
      <c r="H56" s="130"/>
      <c r="I56" s="130"/>
      <c r="J56" s="130"/>
      <c r="K56" s="131"/>
      <c r="L56" s="129"/>
      <c r="M56" s="130"/>
      <c r="N56" s="130"/>
      <c r="O56" s="131"/>
      <c r="P56" s="129"/>
      <c r="Q56" s="130"/>
      <c r="R56" s="130"/>
      <c r="S56" s="130"/>
      <c r="T56" s="130"/>
      <c r="U56" s="131"/>
      <c r="V56" s="129"/>
      <c r="W56" s="130"/>
      <c r="X56" s="130"/>
      <c r="Y56" s="130"/>
      <c r="Z56" s="130"/>
      <c r="AA56" s="130"/>
      <c r="AB56" s="131"/>
      <c r="AC56" s="129"/>
      <c r="AD56" s="130"/>
      <c r="AE56" s="130"/>
      <c r="AF56" s="130"/>
      <c r="AG56" s="130"/>
      <c r="AH56" s="131"/>
      <c r="AI56" s="129"/>
      <c r="AJ56" s="130"/>
      <c r="AK56" s="130"/>
      <c r="AL56" s="130"/>
      <c r="AM56" s="130"/>
      <c r="AN56" s="130"/>
      <c r="AO56" s="131"/>
      <c r="AP56" s="129"/>
      <c r="AQ56" s="130"/>
      <c r="AR56" s="130"/>
      <c r="AS56" s="131"/>
      <c r="AT56" s="129"/>
      <c r="AU56" s="130"/>
      <c r="AV56" s="130"/>
      <c r="AW56" s="130"/>
      <c r="AX56" s="130"/>
      <c r="AY56" s="131"/>
      <c r="AZ56" s="129"/>
      <c r="BA56" s="130"/>
      <c r="BB56" s="130"/>
      <c r="BC56" s="130"/>
      <c r="BD56" s="130"/>
      <c r="BE56" s="130"/>
      <c r="BF56" s="131"/>
      <c r="BG56" s="129"/>
      <c r="BH56" s="130"/>
      <c r="BI56" s="130"/>
      <c r="BJ56" s="130"/>
      <c r="BK56" s="131"/>
      <c r="BL56" s="129"/>
      <c r="BM56" s="130"/>
      <c r="BN56" s="130"/>
      <c r="BO56" s="130"/>
      <c r="BP56" s="130"/>
      <c r="BQ56" s="130"/>
      <c r="BR56" s="130"/>
      <c r="BS56" s="131"/>
      <c r="BT56" s="132"/>
      <c r="BU56" s="132"/>
      <c r="BV56" s="132"/>
      <c r="BW56" s="132"/>
      <c r="BX56" s="132"/>
      <c r="BY56" s="129"/>
      <c r="BZ56" s="130"/>
      <c r="CA56" s="130"/>
      <c r="CB56" s="130"/>
      <c r="CC56" s="130"/>
      <c r="CD56" s="131"/>
      <c r="CE56" s="132"/>
      <c r="CF56" s="132"/>
      <c r="CG56" s="132"/>
      <c r="CH56" s="132"/>
      <c r="CI56" s="132"/>
      <c r="CJ56" s="129"/>
      <c r="CK56" s="130"/>
      <c r="CL56" s="131"/>
      <c r="CM56" s="132"/>
      <c r="CN56" s="132"/>
      <c r="CO56" s="132"/>
      <c r="CP56" s="129"/>
      <c r="CQ56" s="130"/>
      <c r="CR56" s="130"/>
      <c r="CS56" s="130"/>
      <c r="CT56" s="131"/>
      <c r="CU56" s="129"/>
      <c r="CV56" s="130"/>
      <c r="CW56" s="130"/>
      <c r="CX56" s="130"/>
      <c r="CY56" s="130"/>
      <c r="CZ56" s="131"/>
      <c r="DA56" s="129"/>
      <c r="DB56" s="130"/>
      <c r="DC56" s="130"/>
      <c r="DD56" s="130"/>
      <c r="DE56" s="131"/>
      <c r="DF56" s="129"/>
      <c r="DG56" s="130"/>
      <c r="DH56" s="130"/>
      <c r="DI56" s="130"/>
      <c r="DJ56" s="130"/>
      <c r="DK56" s="131"/>
      <c r="DL56" s="129"/>
      <c r="DM56" s="130"/>
      <c r="DN56" s="130"/>
      <c r="DO56" s="130"/>
      <c r="DP56" s="130"/>
      <c r="DQ56" s="131"/>
      <c r="DR56" s="129"/>
      <c r="DS56" s="130"/>
      <c r="DT56" s="130"/>
      <c r="DU56" s="130"/>
      <c r="DV56" s="130"/>
      <c r="DW56" s="131"/>
      <c r="DX56" s="129"/>
      <c r="DY56" s="130"/>
      <c r="DZ56" s="130"/>
      <c r="EA56" s="130"/>
      <c r="EB56" s="130"/>
      <c r="EC56" s="131"/>
      <c r="ED56" s="129"/>
      <c r="EE56" s="130"/>
      <c r="EF56" s="130"/>
      <c r="EG56" s="130"/>
      <c r="EH56" s="130"/>
      <c r="EI56" s="130"/>
      <c r="EJ56" s="129"/>
      <c r="EK56" s="130"/>
      <c r="EL56" s="130"/>
      <c r="EM56" s="130"/>
      <c r="EN56" s="130"/>
      <c r="EO56" s="130"/>
      <c r="EP56" s="130"/>
      <c r="EQ56" s="130"/>
      <c r="ER56" s="130"/>
      <c r="ES56" s="130"/>
      <c r="ET56" s="130"/>
      <c r="EU56" s="130"/>
      <c r="EV56" s="130"/>
      <c r="EW56" s="130"/>
      <c r="EX56" s="130"/>
      <c r="EY56" s="130"/>
      <c r="EZ56" s="133"/>
      <c r="FA56" s="132"/>
      <c r="FB56" s="132"/>
      <c r="FC56" s="132"/>
      <c r="FD56" s="132"/>
      <c r="FE56" s="132"/>
      <c r="FF56" s="129"/>
      <c r="FG56" s="130"/>
      <c r="FH56" s="130"/>
      <c r="FI56" s="130"/>
      <c r="FJ56" s="129"/>
      <c r="FK56" s="130"/>
      <c r="FL56" s="131"/>
      <c r="FM56" s="129"/>
      <c r="FY56" s="97" t="s">
        <v>149</v>
      </c>
    </row>
    <row r="57" spans="1:184">
      <c r="A57" s="95" t="s">
        <v>250</v>
      </c>
      <c r="B57" s="96" t="s">
        <v>265</v>
      </c>
      <c r="C57" s="95">
        <v>1</v>
      </c>
      <c r="D57" s="95">
        <f>COUNTA(E57:KX57)</f>
        <v>27</v>
      </c>
      <c r="E57" s="129" t="s">
        <v>217</v>
      </c>
      <c r="F57" s="130" t="s">
        <v>217</v>
      </c>
      <c r="G57" s="130" t="s">
        <v>217</v>
      </c>
      <c r="H57" s="130"/>
      <c r="I57" s="130"/>
      <c r="J57" s="130"/>
      <c r="K57" s="131"/>
      <c r="L57" s="129"/>
      <c r="M57" s="130" t="s">
        <v>217</v>
      </c>
      <c r="N57" s="130" t="s">
        <v>217</v>
      </c>
      <c r="O57" s="131"/>
      <c r="P57" s="129"/>
      <c r="Q57" s="130"/>
      <c r="R57" s="130"/>
      <c r="S57" s="130"/>
      <c r="T57" s="130"/>
      <c r="U57" s="131"/>
      <c r="V57" s="129" t="s">
        <v>217</v>
      </c>
      <c r="W57" s="130" t="s">
        <v>217</v>
      </c>
      <c r="X57" s="130"/>
      <c r="Y57" s="130"/>
      <c r="Z57" s="130"/>
      <c r="AA57" s="130"/>
      <c r="AB57" s="131"/>
      <c r="AC57" s="129" t="s">
        <v>217</v>
      </c>
      <c r="AD57" s="130" t="s">
        <v>217</v>
      </c>
      <c r="AE57" s="130"/>
      <c r="AF57" s="130"/>
      <c r="AG57" s="130"/>
      <c r="AH57" s="131"/>
      <c r="AI57" s="129"/>
      <c r="AJ57" s="130"/>
      <c r="AK57" s="130"/>
      <c r="AL57" s="130"/>
      <c r="AM57" s="130"/>
      <c r="AN57" s="130"/>
      <c r="AO57" s="131"/>
      <c r="AP57" s="129"/>
      <c r="AQ57" s="130"/>
      <c r="AR57" s="130"/>
      <c r="AS57" s="131"/>
      <c r="AT57" s="129"/>
      <c r="AU57" s="130" t="s">
        <v>149</v>
      </c>
      <c r="AV57" s="130" t="s">
        <v>217</v>
      </c>
      <c r="AW57" s="130"/>
      <c r="AX57" s="130"/>
      <c r="AY57" s="131"/>
      <c r="AZ57" s="129"/>
      <c r="BA57" s="130"/>
      <c r="BB57" s="130"/>
      <c r="BC57" s="130"/>
      <c r="BD57" s="130"/>
      <c r="BE57" s="130" t="s">
        <v>217</v>
      </c>
      <c r="BF57" s="131"/>
      <c r="BG57" s="129"/>
      <c r="BH57" s="130"/>
      <c r="BI57" s="130"/>
      <c r="BJ57" s="130"/>
      <c r="BK57" s="131"/>
      <c r="BL57" s="129"/>
      <c r="BM57" s="130"/>
      <c r="BN57" s="130"/>
      <c r="BO57" s="130" t="s">
        <v>217</v>
      </c>
      <c r="BP57" s="130"/>
      <c r="BQ57" s="130"/>
      <c r="BR57" s="130"/>
      <c r="BS57" s="131"/>
      <c r="BT57" s="132"/>
      <c r="BU57" s="132"/>
      <c r="BV57" s="132" t="s">
        <v>217</v>
      </c>
      <c r="BW57" s="132"/>
      <c r="BX57" s="132"/>
      <c r="BY57" s="129" t="s">
        <v>217</v>
      </c>
      <c r="BZ57" s="130"/>
      <c r="CA57" s="130" t="s">
        <v>217</v>
      </c>
      <c r="CB57" s="130"/>
      <c r="CC57" s="130"/>
      <c r="CD57" s="131"/>
      <c r="CE57" s="132" t="s">
        <v>217</v>
      </c>
      <c r="CF57" s="132" t="s">
        <v>217</v>
      </c>
      <c r="CG57" s="132"/>
      <c r="CH57" s="132"/>
      <c r="CI57" s="132"/>
      <c r="CJ57" s="129" t="s">
        <v>217</v>
      </c>
      <c r="CK57" s="130" t="s">
        <v>217</v>
      </c>
      <c r="CL57" s="131"/>
      <c r="CM57" s="132" t="s">
        <v>217</v>
      </c>
      <c r="CN57" s="132"/>
      <c r="CO57" s="132"/>
      <c r="CP57" s="129"/>
      <c r="CQ57" s="130" t="s">
        <v>217</v>
      </c>
      <c r="CR57" s="130"/>
      <c r="CS57" s="130" t="s">
        <v>217</v>
      </c>
      <c r="CT57" s="131"/>
      <c r="CU57" s="129"/>
      <c r="CV57" s="130"/>
      <c r="CW57" s="130" t="s">
        <v>217</v>
      </c>
      <c r="CX57" s="130"/>
      <c r="CY57" s="130" t="s">
        <v>217</v>
      </c>
      <c r="CZ57" s="131"/>
      <c r="DA57" s="129"/>
      <c r="DB57" s="130" t="s">
        <v>217</v>
      </c>
      <c r="DC57" s="130"/>
      <c r="DD57" s="130" t="s">
        <v>217</v>
      </c>
      <c r="DE57" s="131"/>
      <c r="DF57" s="129"/>
      <c r="DG57" s="130"/>
      <c r="DH57" s="130"/>
      <c r="DI57" s="130"/>
      <c r="DJ57" s="130"/>
      <c r="DK57" s="131"/>
      <c r="DL57" s="129"/>
      <c r="DM57" s="130"/>
      <c r="DN57" s="130"/>
      <c r="DO57" s="130"/>
      <c r="DP57" s="130"/>
      <c r="DQ57" s="131"/>
      <c r="DR57" s="129"/>
      <c r="DS57" s="130"/>
      <c r="DT57" s="130"/>
      <c r="DU57" s="130"/>
      <c r="DV57" s="130"/>
      <c r="DW57" s="131"/>
      <c r="DX57" s="129"/>
      <c r="DY57" s="130"/>
      <c r="DZ57" s="130"/>
      <c r="EA57" s="130"/>
      <c r="EB57" s="130"/>
      <c r="EC57" s="131"/>
      <c r="ED57" s="129"/>
      <c r="EE57" s="130"/>
      <c r="EF57" s="130"/>
      <c r="EG57" s="130"/>
      <c r="EH57" s="130"/>
      <c r="EI57" s="130"/>
      <c r="EJ57" s="129"/>
      <c r="EK57" s="130"/>
      <c r="EL57" s="130"/>
      <c r="EM57" s="130"/>
      <c r="EN57" s="130"/>
      <c r="EO57" s="130"/>
      <c r="EP57" s="130"/>
      <c r="EQ57" s="130"/>
      <c r="ER57" s="130"/>
      <c r="ES57" s="130"/>
      <c r="ET57" s="130"/>
      <c r="EU57" s="130"/>
      <c r="EV57" s="130"/>
      <c r="EW57" s="130"/>
      <c r="EX57" s="130"/>
      <c r="EY57" s="130"/>
      <c r="EZ57" s="133"/>
      <c r="FA57" s="132"/>
      <c r="FB57" s="132"/>
      <c r="FC57" s="132"/>
      <c r="FD57" s="132"/>
      <c r="FE57" s="132"/>
      <c r="FF57" s="129"/>
      <c r="FG57" s="130"/>
      <c r="FH57" s="130"/>
      <c r="FI57" s="130"/>
      <c r="FJ57" s="129"/>
      <c r="FK57" s="130"/>
      <c r="FL57" s="131"/>
      <c r="FM57" s="129"/>
    </row>
    <row r="58" spans="1:184">
      <c r="A58" s="95" t="s">
        <v>250</v>
      </c>
      <c r="B58" s="96" t="s">
        <v>266</v>
      </c>
      <c r="C58" s="95">
        <v>2</v>
      </c>
      <c r="D58" s="95">
        <f>COUNTA(E58:KX58)</f>
        <v>4</v>
      </c>
      <c r="E58" s="129"/>
      <c r="F58" s="130"/>
      <c r="G58" s="130"/>
      <c r="H58" s="130"/>
      <c r="I58" s="130"/>
      <c r="J58" s="130" t="s">
        <v>217</v>
      </c>
      <c r="K58" s="131"/>
      <c r="L58" s="129"/>
      <c r="M58" s="130"/>
      <c r="N58" s="130"/>
      <c r="O58" s="131"/>
      <c r="P58" s="129"/>
      <c r="Q58" s="130"/>
      <c r="R58" s="130"/>
      <c r="S58" s="130"/>
      <c r="T58" s="130"/>
      <c r="U58" s="131"/>
      <c r="V58" s="129"/>
      <c r="W58" s="130"/>
      <c r="X58" s="130"/>
      <c r="Y58" s="130"/>
      <c r="Z58" s="130"/>
      <c r="AA58" s="130"/>
      <c r="AB58" s="131"/>
      <c r="AC58" s="129"/>
      <c r="AD58" s="130"/>
      <c r="AE58" s="130"/>
      <c r="AF58" s="130"/>
      <c r="AG58" s="130"/>
      <c r="AH58" s="131"/>
      <c r="AI58" s="129"/>
      <c r="AJ58" s="130"/>
      <c r="AK58" s="130"/>
      <c r="AL58" s="130"/>
      <c r="AM58" s="130"/>
      <c r="AN58" s="130"/>
      <c r="AO58" s="131"/>
      <c r="AP58" s="129" t="s">
        <v>217</v>
      </c>
      <c r="AQ58" s="130"/>
      <c r="AR58" s="130"/>
      <c r="AS58" s="131"/>
      <c r="AT58" s="129"/>
      <c r="AU58" s="130"/>
      <c r="AV58" s="130"/>
      <c r="AW58" s="130"/>
      <c r="AX58" s="130"/>
      <c r="AY58" s="131"/>
      <c r="AZ58" s="129"/>
      <c r="BA58" s="130"/>
      <c r="BB58" s="130"/>
      <c r="BC58" s="130"/>
      <c r="BD58" s="130"/>
      <c r="BE58" s="130"/>
      <c r="BF58" s="131"/>
      <c r="BG58" s="129"/>
      <c r="BH58" s="130"/>
      <c r="BI58" s="130"/>
      <c r="BJ58" s="130"/>
      <c r="BK58" s="131"/>
      <c r="BL58" s="129" t="s">
        <v>217</v>
      </c>
      <c r="BM58" s="130"/>
      <c r="BN58" s="130"/>
      <c r="BO58" s="130"/>
      <c r="BP58" s="130"/>
      <c r="BQ58" s="130"/>
      <c r="BR58" s="130"/>
      <c r="BS58" s="131"/>
      <c r="BT58" s="132"/>
      <c r="BU58" s="132"/>
      <c r="BV58" s="132"/>
      <c r="BW58" s="132"/>
      <c r="BX58" s="132"/>
      <c r="BY58" s="129"/>
      <c r="BZ58" s="130"/>
      <c r="CA58" s="130"/>
      <c r="CB58" s="130"/>
      <c r="CC58" s="130"/>
      <c r="CD58" s="131"/>
      <c r="CE58" s="132"/>
      <c r="CF58" s="132"/>
      <c r="CG58" s="132"/>
      <c r="CH58" s="132"/>
      <c r="CI58" s="132"/>
      <c r="CJ58" s="129"/>
      <c r="CK58" s="130"/>
      <c r="CL58" s="131"/>
      <c r="CM58" s="132"/>
      <c r="CN58" s="132"/>
      <c r="CO58" s="132"/>
      <c r="CP58" s="129"/>
      <c r="CQ58" s="130"/>
      <c r="CR58" s="130"/>
      <c r="CS58" s="130"/>
      <c r="CT58" s="131"/>
      <c r="CU58" s="129"/>
      <c r="CV58" s="130"/>
      <c r="CW58" s="130"/>
      <c r="CX58" s="130"/>
      <c r="CY58" s="130"/>
      <c r="CZ58" s="131"/>
      <c r="DA58" s="129" t="s">
        <v>217</v>
      </c>
      <c r="DB58" s="130"/>
      <c r="DC58" s="130"/>
      <c r="DD58" s="130"/>
      <c r="DE58" s="131"/>
      <c r="DF58" s="129"/>
      <c r="DG58" s="130"/>
      <c r="DH58" s="130"/>
      <c r="DI58" s="130"/>
      <c r="DJ58" s="130"/>
      <c r="DK58" s="131"/>
      <c r="DL58" s="129"/>
      <c r="DM58" s="130"/>
      <c r="DN58" s="130"/>
      <c r="DO58" s="130"/>
      <c r="DP58" s="130"/>
      <c r="DQ58" s="131"/>
      <c r="DR58" s="129"/>
      <c r="DS58" s="130"/>
      <c r="DT58" s="130"/>
      <c r="DU58" s="130"/>
      <c r="DV58" s="130"/>
      <c r="DW58" s="131"/>
      <c r="DX58" s="129"/>
      <c r="DY58" s="130"/>
      <c r="DZ58" s="130"/>
      <c r="EA58" s="130"/>
      <c r="EB58" s="130"/>
      <c r="EC58" s="131"/>
      <c r="ED58" s="129"/>
      <c r="EE58" s="130"/>
      <c r="EF58" s="130"/>
      <c r="EG58" s="130"/>
      <c r="EH58" s="130"/>
      <c r="EI58" s="130"/>
      <c r="EJ58" s="129"/>
      <c r="EK58" s="130"/>
      <c r="EL58" s="130"/>
      <c r="EM58" s="130"/>
      <c r="EN58" s="130"/>
      <c r="EO58" s="130"/>
      <c r="EP58" s="130"/>
      <c r="EQ58" s="130"/>
      <c r="ER58" s="130"/>
      <c r="ES58" s="130"/>
      <c r="ET58" s="130"/>
      <c r="EU58" s="130"/>
      <c r="EV58" s="130"/>
      <c r="EW58" s="130"/>
      <c r="EX58" s="130"/>
      <c r="EY58" s="130"/>
      <c r="EZ58" s="133"/>
      <c r="FA58" s="132"/>
      <c r="FB58" s="132"/>
      <c r="FC58" s="132"/>
      <c r="FD58" s="132"/>
      <c r="FE58" s="132"/>
      <c r="FF58" s="129"/>
      <c r="FG58" s="130"/>
      <c r="FH58" s="130"/>
      <c r="FI58" s="130"/>
      <c r="FJ58" s="129"/>
      <c r="FK58" s="130"/>
      <c r="FL58" s="131"/>
      <c r="FM58" s="129"/>
    </row>
    <row r="59" spans="1:184">
      <c r="A59" s="95" t="s">
        <v>255</v>
      </c>
      <c r="B59" s="96" t="s">
        <v>267</v>
      </c>
      <c r="C59" s="95">
        <v>1</v>
      </c>
      <c r="D59" s="95">
        <f>COUNTA(E59:KX59)</f>
        <v>0</v>
      </c>
      <c r="E59" s="129"/>
      <c r="F59" s="130"/>
      <c r="G59" s="130"/>
      <c r="H59" s="130"/>
      <c r="I59" s="130"/>
      <c r="J59" s="130"/>
      <c r="K59" s="131"/>
      <c r="L59" s="129"/>
      <c r="M59" s="130"/>
      <c r="N59" s="130"/>
      <c r="O59" s="131"/>
      <c r="P59" s="129"/>
      <c r="Q59" s="130"/>
      <c r="R59" s="130"/>
      <c r="S59" s="130"/>
      <c r="T59" s="130"/>
      <c r="U59" s="131"/>
      <c r="V59" s="129"/>
      <c r="W59" s="130"/>
      <c r="X59" s="130"/>
      <c r="Y59" s="130"/>
      <c r="Z59" s="130"/>
      <c r="AA59" s="130"/>
      <c r="AB59" s="131"/>
      <c r="AC59" s="129"/>
      <c r="AD59" s="130"/>
      <c r="AE59" s="130"/>
      <c r="AF59" s="130"/>
      <c r="AG59" s="130"/>
      <c r="AH59" s="131"/>
      <c r="AI59" s="129"/>
      <c r="AJ59" s="130"/>
      <c r="AK59" s="130"/>
      <c r="AL59" s="130"/>
      <c r="AM59" s="130"/>
      <c r="AN59" s="130"/>
      <c r="AO59" s="131"/>
      <c r="AP59" s="129"/>
      <c r="AQ59" s="130"/>
      <c r="AR59" s="130"/>
      <c r="AS59" s="131"/>
      <c r="AT59" s="129"/>
      <c r="AU59" s="130"/>
      <c r="AV59" s="130"/>
      <c r="AW59" s="130"/>
      <c r="AX59" s="130"/>
      <c r="AY59" s="131"/>
      <c r="AZ59" s="129"/>
      <c r="BA59" s="130"/>
      <c r="BB59" s="130"/>
      <c r="BC59" s="130"/>
      <c r="BD59" s="130"/>
      <c r="BE59" s="130"/>
      <c r="BF59" s="131"/>
      <c r="BG59" s="129"/>
      <c r="BH59" s="130"/>
      <c r="BI59" s="130"/>
      <c r="BJ59" s="130"/>
      <c r="BK59" s="131"/>
      <c r="BL59" s="129"/>
      <c r="BM59" s="130"/>
      <c r="BN59" s="130"/>
      <c r="BO59" s="130"/>
      <c r="BP59" s="130"/>
      <c r="BQ59" s="130"/>
      <c r="BR59" s="130"/>
      <c r="BS59" s="131"/>
      <c r="BT59" s="132"/>
      <c r="BU59" s="132"/>
      <c r="BV59" s="132"/>
      <c r="BW59" s="132"/>
      <c r="BX59" s="132"/>
      <c r="BY59" s="129"/>
      <c r="BZ59" s="130"/>
      <c r="CA59" s="130"/>
      <c r="CB59" s="130"/>
      <c r="CC59" s="130"/>
      <c r="CD59" s="131"/>
      <c r="CE59" s="132"/>
      <c r="CF59" s="132"/>
      <c r="CG59" s="132"/>
      <c r="CH59" s="132"/>
      <c r="CI59" s="132"/>
      <c r="CJ59" s="129"/>
      <c r="CK59" s="130"/>
      <c r="CL59" s="131"/>
      <c r="CM59" s="132"/>
      <c r="CN59" s="132"/>
      <c r="CO59" s="132"/>
      <c r="CP59" s="129"/>
      <c r="CQ59" s="130"/>
      <c r="CR59" s="130"/>
      <c r="CS59" s="130"/>
      <c r="CT59" s="131"/>
      <c r="CU59" s="129"/>
      <c r="CV59" s="130"/>
      <c r="CW59" s="130"/>
      <c r="CX59" s="130"/>
      <c r="CY59" s="130"/>
      <c r="CZ59" s="131"/>
      <c r="DA59" s="129"/>
      <c r="DB59" s="130"/>
      <c r="DC59" s="130"/>
      <c r="DD59" s="130"/>
      <c r="DE59" s="131"/>
      <c r="DF59" s="129"/>
      <c r="DG59" s="130"/>
      <c r="DH59" s="130"/>
      <c r="DI59" s="130"/>
      <c r="DJ59" s="130"/>
      <c r="DK59" s="131"/>
      <c r="DL59" s="129"/>
      <c r="DM59" s="130"/>
      <c r="DN59" s="130"/>
      <c r="DO59" s="130"/>
      <c r="DP59" s="130"/>
      <c r="DQ59" s="131"/>
      <c r="DR59" s="129"/>
      <c r="DS59" s="130"/>
      <c r="DT59" s="130"/>
      <c r="DU59" s="130"/>
      <c r="DV59" s="130"/>
      <c r="DW59" s="131"/>
      <c r="DX59" s="129"/>
      <c r="DY59" s="130"/>
      <c r="DZ59" s="130"/>
      <c r="EA59" s="130"/>
      <c r="EB59" s="130"/>
      <c r="EC59" s="131"/>
      <c r="ED59" s="129"/>
      <c r="EE59" s="130"/>
      <c r="EF59" s="130"/>
      <c r="EG59" s="130"/>
      <c r="EH59" s="130"/>
      <c r="EI59" s="130"/>
      <c r="EJ59" s="129"/>
      <c r="EK59" s="130"/>
      <c r="EL59" s="130"/>
      <c r="EM59" s="130"/>
      <c r="EN59" s="130"/>
      <c r="EO59" s="130"/>
      <c r="EP59" s="130"/>
      <c r="EQ59" s="130"/>
      <c r="ER59" s="130"/>
      <c r="ES59" s="130"/>
      <c r="ET59" s="130"/>
      <c r="EU59" s="130"/>
      <c r="EV59" s="130"/>
      <c r="EW59" s="130"/>
      <c r="EX59" s="130"/>
      <c r="EY59" s="130"/>
      <c r="EZ59" s="133"/>
      <c r="FA59" s="132"/>
      <c r="FB59" s="132"/>
      <c r="FC59" s="132"/>
      <c r="FD59" s="132"/>
      <c r="FE59" s="132"/>
      <c r="FF59" s="129"/>
      <c r="FG59" s="130"/>
      <c r="FH59" s="130"/>
      <c r="FI59" s="130"/>
      <c r="FJ59" s="129"/>
      <c r="FK59" s="130"/>
      <c r="FL59" s="131"/>
      <c r="FM59" s="129"/>
    </row>
    <row r="60" spans="1:184" ht="30">
      <c r="A60" s="95" t="s">
        <v>250</v>
      </c>
      <c r="B60" s="96" t="s">
        <v>268</v>
      </c>
      <c r="C60" s="95">
        <v>3</v>
      </c>
      <c r="D60" s="95">
        <f>COUNTA(E60:KX60)</f>
        <v>4</v>
      </c>
      <c r="E60" s="129"/>
      <c r="F60" s="130"/>
      <c r="G60" s="130"/>
      <c r="H60" s="130"/>
      <c r="I60" s="130" t="s">
        <v>217</v>
      </c>
      <c r="J60" s="130"/>
      <c r="K60" s="131"/>
      <c r="L60" s="129"/>
      <c r="M60" s="130"/>
      <c r="N60" s="130"/>
      <c r="O60" s="131"/>
      <c r="P60" s="129"/>
      <c r="Q60" s="130"/>
      <c r="R60" s="130"/>
      <c r="S60" s="130"/>
      <c r="T60" s="130"/>
      <c r="U60" s="131"/>
      <c r="V60" s="129"/>
      <c r="W60" s="130"/>
      <c r="X60" s="130"/>
      <c r="Y60" s="130"/>
      <c r="Z60" s="130"/>
      <c r="AA60" s="130"/>
      <c r="AB60" s="131"/>
      <c r="AC60" s="129"/>
      <c r="AD60" s="130"/>
      <c r="AE60" s="130"/>
      <c r="AF60" s="130"/>
      <c r="AG60" s="130"/>
      <c r="AH60" s="131"/>
      <c r="AI60" s="129"/>
      <c r="AJ60" s="130"/>
      <c r="AK60" s="130"/>
      <c r="AL60" s="130"/>
      <c r="AM60" s="130" t="s">
        <v>217</v>
      </c>
      <c r="AN60" s="130"/>
      <c r="AO60" s="131"/>
      <c r="AP60" s="129"/>
      <c r="AQ60" s="130"/>
      <c r="AR60" s="130"/>
      <c r="AS60" s="131"/>
      <c r="AT60" s="129"/>
      <c r="AU60" s="130"/>
      <c r="AV60" s="130"/>
      <c r="AW60" s="130"/>
      <c r="AX60" s="130"/>
      <c r="AY60" s="131"/>
      <c r="AZ60" s="129"/>
      <c r="BA60" s="130"/>
      <c r="BB60" s="130"/>
      <c r="BC60" s="130"/>
      <c r="BD60" s="130"/>
      <c r="BE60" s="130"/>
      <c r="BF60" s="131"/>
      <c r="BG60" s="129"/>
      <c r="BH60" s="130"/>
      <c r="BI60" s="130"/>
      <c r="BJ60" s="130"/>
      <c r="BK60" s="131"/>
      <c r="BL60" s="129"/>
      <c r="BM60" s="130"/>
      <c r="BN60" s="130" t="s">
        <v>217</v>
      </c>
      <c r="BO60" s="130"/>
      <c r="BP60" s="130"/>
      <c r="BQ60" s="130"/>
      <c r="BR60" s="130"/>
      <c r="BS60" s="131"/>
      <c r="BT60" s="132"/>
      <c r="BU60" s="132"/>
      <c r="BV60" s="132"/>
      <c r="BW60" s="132"/>
      <c r="BX60" s="132"/>
      <c r="BY60" s="129"/>
      <c r="BZ60" s="130"/>
      <c r="CA60" s="130"/>
      <c r="CB60" s="130"/>
      <c r="CC60" s="130"/>
      <c r="CD60" s="131"/>
      <c r="CE60" s="132"/>
      <c r="CF60" s="132"/>
      <c r="CG60" s="132"/>
      <c r="CH60" s="132"/>
      <c r="CI60" s="132"/>
      <c r="CJ60" s="129"/>
      <c r="CK60" s="130"/>
      <c r="CL60" s="131"/>
      <c r="CM60" s="132"/>
      <c r="CN60" s="132"/>
      <c r="CO60" s="132"/>
      <c r="CP60" s="129"/>
      <c r="CQ60" s="130"/>
      <c r="CR60" s="130"/>
      <c r="CS60" s="130"/>
      <c r="CT60" s="131"/>
      <c r="CU60" s="129"/>
      <c r="CV60" s="130"/>
      <c r="CW60" s="130"/>
      <c r="CX60" s="130"/>
      <c r="CY60" s="130"/>
      <c r="CZ60" s="131"/>
      <c r="DA60" s="129"/>
      <c r="DB60" s="130"/>
      <c r="DC60" s="130"/>
      <c r="DD60" s="130"/>
      <c r="DE60" s="131"/>
      <c r="DF60" s="129"/>
      <c r="DG60" s="130"/>
      <c r="DH60" s="130"/>
      <c r="DI60" s="130"/>
      <c r="DJ60" s="130"/>
      <c r="DK60" s="131"/>
      <c r="DL60" s="129"/>
      <c r="DM60" s="130"/>
      <c r="DN60" s="130"/>
      <c r="DO60" s="130"/>
      <c r="DP60" s="130"/>
      <c r="DQ60" s="131"/>
      <c r="DR60" s="129"/>
      <c r="DS60" s="130"/>
      <c r="DT60" s="130"/>
      <c r="DU60" s="130"/>
      <c r="DV60" s="130"/>
      <c r="DW60" s="131"/>
      <c r="DX60" s="129"/>
      <c r="DY60" s="130"/>
      <c r="DZ60" s="130"/>
      <c r="EA60" s="130"/>
      <c r="EB60" s="130"/>
      <c r="EC60" s="131"/>
      <c r="ED60" s="129"/>
      <c r="EE60" s="130"/>
      <c r="EF60" s="130"/>
      <c r="EG60" s="130"/>
      <c r="EH60" s="130"/>
      <c r="EI60" s="130"/>
      <c r="EJ60" s="129"/>
      <c r="EK60" s="130"/>
      <c r="EL60" s="130"/>
      <c r="EM60" s="130"/>
      <c r="EN60" s="130"/>
      <c r="EO60" s="130"/>
      <c r="EP60" s="130"/>
      <c r="EQ60" s="130"/>
      <c r="ER60" s="130"/>
      <c r="ES60" s="130"/>
      <c r="ET60" s="130"/>
      <c r="EU60" s="130"/>
      <c r="EV60" s="130"/>
      <c r="EW60" s="130"/>
      <c r="EX60" s="130"/>
      <c r="EY60" s="130"/>
      <c r="EZ60" s="133"/>
      <c r="FA60" s="132"/>
      <c r="FB60" s="132"/>
      <c r="FC60" s="132"/>
      <c r="FD60" s="132"/>
      <c r="FE60" s="132"/>
      <c r="FF60" s="129"/>
      <c r="FG60" s="130"/>
      <c r="FH60" s="130"/>
      <c r="FI60" s="130"/>
      <c r="FJ60" s="129"/>
      <c r="FK60" s="130"/>
      <c r="FL60" s="131"/>
      <c r="FM60" s="129"/>
      <c r="GB60" s="97" t="s">
        <v>149</v>
      </c>
    </row>
    <row r="61" spans="1:184">
      <c r="A61" s="95" t="s">
        <v>250</v>
      </c>
      <c r="B61" s="96" t="s">
        <v>269</v>
      </c>
      <c r="C61" s="95">
        <v>1</v>
      </c>
      <c r="D61" s="95">
        <f>COUNTA(E61:KX61)</f>
        <v>29</v>
      </c>
      <c r="E61" s="129"/>
      <c r="F61" s="130"/>
      <c r="G61" s="130"/>
      <c r="H61" s="130"/>
      <c r="I61" s="130"/>
      <c r="J61" s="130"/>
      <c r="K61" s="131"/>
      <c r="L61" s="129"/>
      <c r="M61" s="130"/>
      <c r="N61" s="130"/>
      <c r="O61" s="131"/>
      <c r="P61" s="129"/>
      <c r="Q61" s="130"/>
      <c r="R61" s="130"/>
      <c r="S61" s="130"/>
      <c r="T61" s="130"/>
      <c r="U61" s="131"/>
      <c r="V61" s="129"/>
      <c r="W61" s="130"/>
      <c r="X61" s="130"/>
      <c r="Y61" s="130"/>
      <c r="Z61" s="130"/>
      <c r="AA61" s="130"/>
      <c r="AB61" s="131"/>
      <c r="AC61" s="129"/>
      <c r="AD61" s="130"/>
      <c r="AE61" s="130"/>
      <c r="AF61" s="130"/>
      <c r="AG61" s="130" t="s">
        <v>217</v>
      </c>
      <c r="AH61" s="131"/>
      <c r="AI61" s="129" t="s">
        <v>217</v>
      </c>
      <c r="AJ61" s="130" t="s">
        <v>217</v>
      </c>
      <c r="AK61" s="130" t="s">
        <v>217</v>
      </c>
      <c r="AL61" s="130"/>
      <c r="AM61" s="130"/>
      <c r="AN61" s="130"/>
      <c r="AO61" s="131"/>
      <c r="AP61" s="129"/>
      <c r="AQ61" s="130" t="s">
        <v>217</v>
      </c>
      <c r="AR61" s="130" t="s">
        <v>217</v>
      </c>
      <c r="AS61" s="131"/>
      <c r="AT61" s="129" t="s">
        <v>217</v>
      </c>
      <c r="AU61" s="130" t="s">
        <v>217</v>
      </c>
      <c r="AV61" s="130" t="s">
        <v>217</v>
      </c>
      <c r="AW61" s="130"/>
      <c r="AX61" s="130"/>
      <c r="AY61" s="131"/>
      <c r="AZ61" s="129" t="s">
        <v>217</v>
      </c>
      <c r="BA61" s="130" t="s">
        <v>217</v>
      </c>
      <c r="BB61" s="130"/>
      <c r="BC61" s="130"/>
      <c r="BD61" s="130"/>
      <c r="BE61" s="130"/>
      <c r="BF61" s="131"/>
      <c r="BG61" s="129" t="s">
        <v>217</v>
      </c>
      <c r="BH61" s="130" t="s">
        <v>217</v>
      </c>
      <c r="BI61" s="130"/>
      <c r="BJ61" s="130"/>
      <c r="BK61" s="131"/>
      <c r="BL61" s="129"/>
      <c r="BM61" s="130"/>
      <c r="BN61" s="130"/>
      <c r="BO61" s="130"/>
      <c r="BP61" s="130" t="s">
        <v>217</v>
      </c>
      <c r="BQ61" s="130" t="s">
        <v>217</v>
      </c>
      <c r="BR61" s="130" t="s">
        <v>217</v>
      </c>
      <c r="BS61" s="131"/>
      <c r="BT61" s="132"/>
      <c r="BU61" s="132" t="s">
        <v>217</v>
      </c>
      <c r="BV61" s="132"/>
      <c r="BW61" s="132" t="s">
        <v>217</v>
      </c>
      <c r="BX61" s="132"/>
      <c r="BY61" s="129"/>
      <c r="BZ61" s="130" t="s">
        <v>217</v>
      </c>
      <c r="CA61" s="130" t="s">
        <v>217</v>
      </c>
      <c r="CB61" s="130"/>
      <c r="CC61" s="130"/>
      <c r="CD61" s="131" t="s">
        <v>217</v>
      </c>
      <c r="CE61" s="132"/>
      <c r="CF61" s="132" t="s">
        <v>217</v>
      </c>
      <c r="CG61" s="132"/>
      <c r="CH61" s="132" t="s">
        <v>217</v>
      </c>
      <c r="CI61" s="132"/>
      <c r="CJ61" s="129" t="s">
        <v>217</v>
      </c>
      <c r="CK61" s="130" t="s">
        <v>217</v>
      </c>
      <c r="CL61" s="131"/>
      <c r="CM61" s="132" t="s">
        <v>217</v>
      </c>
      <c r="CN61" s="132"/>
      <c r="CO61" s="132"/>
      <c r="CP61" s="129"/>
      <c r="CQ61" s="130"/>
      <c r="CR61" s="130"/>
      <c r="CS61" s="130"/>
      <c r="CT61" s="131"/>
      <c r="CU61" s="129" t="s">
        <v>217</v>
      </c>
      <c r="CV61" s="130" t="s">
        <v>217</v>
      </c>
      <c r="CW61" s="130"/>
      <c r="CX61" s="130"/>
      <c r="CY61" s="130"/>
      <c r="CZ61" s="131"/>
      <c r="DA61" s="129" t="s">
        <v>217</v>
      </c>
      <c r="DB61" s="130"/>
      <c r="DC61" s="130"/>
      <c r="DD61" s="130"/>
      <c r="DE61" s="131"/>
      <c r="DF61" s="129"/>
      <c r="DG61" s="130"/>
      <c r="DH61" s="130"/>
      <c r="DI61" s="130"/>
      <c r="DJ61" s="130"/>
      <c r="DK61" s="131"/>
      <c r="DL61" s="129"/>
      <c r="DM61" s="130"/>
      <c r="DN61" s="130"/>
      <c r="DO61" s="130"/>
      <c r="DP61" s="130"/>
      <c r="DQ61" s="131"/>
      <c r="DR61" s="129"/>
      <c r="DS61" s="130"/>
      <c r="DT61" s="130"/>
      <c r="DU61" s="130"/>
      <c r="DV61" s="130"/>
      <c r="DW61" s="131"/>
      <c r="DX61" s="129"/>
      <c r="DY61" s="130"/>
      <c r="DZ61" s="130"/>
      <c r="EA61" s="130"/>
      <c r="EB61" s="130"/>
      <c r="EC61" s="131"/>
      <c r="ED61" s="129"/>
      <c r="EE61" s="130"/>
      <c r="EF61" s="130"/>
      <c r="EG61" s="130"/>
      <c r="EH61" s="130"/>
      <c r="EI61" s="130"/>
      <c r="EJ61" s="129"/>
      <c r="EK61" s="130"/>
      <c r="EL61" s="130"/>
      <c r="EM61" s="130"/>
      <c r="EN61" s="130"/>
      <c r="EO61" s="130"/>
      <c r="EP61" s="130"/>
      <c r="EQ61" s="130"/>
      <c r="ER61" s="130"/>
      <c r="ES61" s="130"/>
      <c r="ET61" s="130"/>
      <c r="EU61" s="130"/>
      <c r="EV61" s="130"/>
      <c r="EW61" s="130"/>
      <c r="EX61" s="130"/>
      <c r="EY61" s="130"/>
      <c r="EZ61" s="133"/>
      <c r="FA61" s="132"/>
      <c r="FB61" s="132"/>
      <c r="FC61" s="132"/>
      <c r="FD61" s="132"/>
      <c r="FE61" s="132"/>
      <c r="FF61" s="129"/>
      <c r="FG61" s="130"/>
      <c r="FH61" s="130"/>
      <c r="FI61" s="130"/>
      <c r="FJ61" s="129"/>
      <c r="FK61" s="130"/>
      <c r="FL61" s="131"/>
      <c r="FM61" s="129"/>
    </row>
    <row r="62" spans="1:184">
      <c r="A62" s="95" t="s">
        <v>250</v>
      </c>
      <c r="B62" s="96" t="s">
        <v>270</v>
      </c>
      <c r="C62" s="95">
        <v>2</v>
      </c>
      <c r="D62" s="95">
        <f>COUNTA(E62:KX62)</f>
        <v>7</v>
      </c>
      <c r="E62" s="129"/>
      <c r="F62" s="130"/>
      <c r="G62" s="130"/>
      <c r="H62" s="130"/>
      <c r="I62" s="130"/>
      <c r="J62" s="130"/>
      <c r="K62" s="131"/>
      <c r="L62" s="129" t="s">
        <v>217</v>
      </c>
      <c r="M62" s="130"/>
      <c r="N62" s="130"/>
      <c r="O62" s="131"/>
      <c r="P62" s="129"/>
      <c r="Q62" s="130"/>
      <c r="R62" s="130"/>
      <c r="S62" s="130"/>
      <c r="T62" s="130"/>
      <c r="U62" s="131"/>
      <c r="V62" s="129"/>
      <c r="W62" s="130"/>
      <c r="X62" s="130"/>
      <c r="Y62" s="130"/>
      <c r="Z62" s="130" t="s">
        <v>217</v>
      </c>
      <c r="AA62" s="130"/>
      <c r="AB62" s="131"/>
      <c r="AC62" s="129"/>
      <c r="AD62" s="130"/>
      <c r="AE62" s="130"/>
      <c r="AF62" s="130"/>
      <c r="AG62" s="130"/>
      <c r="AH62" s="131"/>
      <c r="AI62" s="129"/>
      <c r="AJ62" s="130"/>
      <c r="AK62" s="130"/>
      <c r="AL62" s="130"/>
      <c r="AM62" s="130"/>
      <c r="AN62" s="130"/>
      <c r="AO62" s="131"/>
      <c r="AP62" s="129" t="s">
        <v>149</v>
      </c>
      <c r="AQ62" s="130"/>
      <c r="AR62" s="130"/>
      <c r="AS62" s="131"/>
      <c r="AT62" s="129"/>
      <c r="AU62" s="130"/>
      <c r="AV62" s="130"/>
      <c r="AW62" s="130"/>
      <c r="AX62" s="130"/>
      <c r="AY62" s="131"/>
      <c r="AZ62" s="129"/>
      <c r="BA62" s="130"/>
      <c r="BB62" s="130"/>
      <c r="BC62" s="130"/>
      <c r="BD62" s="130"/>
      <c r="BE62" s="130"/>
      <c r="BF62" s="131"/>
      <c r="BG62" s="129"/>
      <c r="BH62" s="130"/>
      <c r="BI62" s="130"/>
      <c r="BJ62" s="130"/>
      <c r="BK62" s="131"/>
      <c r="BL62" s="129" t="s">
        <v>217</v>
      </c>
      <c r="BM62" s="130"/>
      <c r="BN62" s="130"/>
      <c r="BO62" s="130"/>
      <c r="BP62" s="130"/>
      <c r="BQ62" s="130"/>
      <c r="BR62" s="130"/>
      <c r="BS62" s="131"/>
      <c r="BT62" s="132"/>
      <c r="BU62" s="132"/>
      <c r="BV62" s="132"/>
      <c r="BW62" s="132"/>
      <c r="BX62" s="132"/>
      <c r="BY62" s="129"/>
      <c r="BZ62" s="130"/>
      <c r="CA62" s="130"/>
      <c r="CB62" s="130"/>
      <c r="CC62" s="130"/>
      <c r="CD62" s="131"/>
      <c r="CE62" s="132"/>
      <c r="CF62" s="132"/>
      <c r="CG62" s="132"/>
      <c r="CH62" s="132"/>
      <c r="CI62" s="132"/>
      <c r="CJ62" s="129"/>
      <c r="CK62" s="130"/>
      <c r="CL62" s="131"/>
      <c r="CM62" s="132"/>
      <c r="CN62" s="132"/>
      <c r="CO62" s="132"/>
      <c r="CP62" s="129"/>
      <c r="CQ62" s="130"/>
      <c r="CR62" s="130"/>
      <c r="CS62" s="130"/>
      <c r="CT62" s="131"/>
      <c r="CU62" s="129" t="s">
        <v>217</v>
      </c>
      <c r="CV62" s="130" t="s">
        <v>217</v>
      </c>
      <c r="CW62" s="130"/>
      <c r="CX62" s="130"/>
      <c r="CY62" s="130"/>
      <c r="CZ62" s="131"/>
      <c r="DA62" s="129" t="s">
        <v>217</v>
      </c>
      <c r="DB62" s="130"/>
      <c r="DC62" s="130"/>
      <c r="DD62" s="130"/>
      <c r="DE62" s="131"/>
      <c r="DF62" s="129"/>
      <c r="DG62" s="130"/>
      <c r="DH62" s="130"/>
      <c r="DI62" s="130"/>
      <c r="DJ62" s="130"/>
      <c r="DK62" s="131"/>
      <c r="DL62" s="129"/>
      <c r="DM62" s="130"/>
      <c r="DN62" s="130"/>
      <c r="DO62" s="130"/>
      <c r="DP62" s="130"/>
      <c r="DQ62" s="131"/>
      <c r="DR62" s="129"/>
      <c r="DS62" s="130"/>
      <c r="DT62" s="130"/>
      <c r="DU62" s="130"/>
      <c r="DV62" s="130"/>
      <c r="DW62" s="131"/>
      <c r="DX62" s="129"/>
      <c r="DY62" s="130"/>
      <c r="DZ62" s="130"/>
      <c r="EA62" s="130"/>
      <c r="EB62" s="130"/>
      <c r="EC62" s="131"/>
      <c r="ED62" s="129"/>
      <c r="EE62" s="130"/>
      <c r="EF62" s="130"/>
      <c r="EG62" s="130"/>
      <c r="EH62" s="130"/>
      <c r="EI62" s="130"/>
      <c r="EJ62" s="129"/>
      <c r="EK62" s="130"/>
      <c r="EL62" s="130"/>
      <c r="EM62" s="130"/>
      <c r="EN62" s="130"/>
      <c r="EO62" s="130"/>
      <c r="EP62" s="130"/>
      <c r="EQ62" s="130"/>
      <c r="ER62" s="130"/>
      <c r="ES62" s="130"/>
      <c r="ET62" s="130"/>
      <c r="EU62" s="130"/>
      <c r="EV62" s="130"/>
      <c r="EW62" s="130"/>
      <c r="EX62" s="130"/>
      <c r="EY62" s="130"/>
      <c r="EZ62" s="133"/>
      <c r="FA62" s="132"/>
      <c r="FB62" s="132"/>
      <c r="FC62" s="132"/>
      <c r="FD62" s="132"/>
      <c r="FE62" s="132"/>
      <c r="FF62" s="129"/>
      <c r="FG62" s="130"/>
      <c r="FH62" s="130"/>
      <c r="FI62" s="130"/>
      <c r="FJ62" s="129"/>
      <c r="FK62" s="130"/>
      <c r="FL62" s="131"/>
      <c r="FM62" s="129"/>
    </row>
    <row r="63" spans="1:184">
      <c r="A63" s="95" t="s">
        <v>255</v>
      </c>
      <c r="B63" s="96" t="s">
        <v>271</v>
      </c>
      <c r="D63" s="95">
        <f>COUNTA(E63:KX63)</f>
        <v>2</v>
      </c>
      <c r="E63" s="129"/>
      <c r="F63" s="130"/>
      <c r="G63" s="130"/>
      <c r="H63" s="130"/>
      <c r="I63" s="130"/>
      <c r="J63" s="130"/>
      <c r="K63" s="131"/>
      <c r="L63" s="129"/>
      <c r="M63" s="130"/>
      <c r="N63" s="130"/>
      <c r="O63" s="131"/>
      <c r="P63" s="129"/>
      <c r="Q63" s="130"/>
      <c r="R63" s="130"/>
      <c r="S63" s="130"/>
      <c r="T63" s="130"/>
      <c r="U63" s="131"/>
      <c r="V63" s="129"/>
      <c r="W63" s="130"/>
      <c r="X63" s="130"/>
      <c r="Y63" s="130"/>
      <c r="Z63" s="130"/>
      <c r="AA63" s="130"/>
      <c r="AB63" s="131"/>
      <c r="AC63" s="129"/>
      <c r="AD63" s="130"/>
      <c r="AE63" s="130"/>
      <c r="AF63" s="130"/>
      <c r="AG63" s="130"/>
      <c r="AH63" s="131"/>
      <c r="AI63" s="129"/>
      <c r="AJ63" s="130"/>
      <c r="AK63" s="130"/>
      <c r="AL63" s="130"/>
      <c r="AM63" s="130"/>
      <c r="AN63" s="130"/>
      <c r="AO63" s="131"/>
      <c r="AP63" s="129"/>
      <c r="AQ63" s="130"/>
      <c r="AR63" s="130"/>
      <c r="AS63" s="131"/>
      <c r="AT63" s="129"/>
      <c r="AU63" s="130"/>
      <c r="AV63" s="130"/>
      <c r="AW63" s="130"/>
      <c r="AX63" s="130"/>
      <c r="AY63" s="131"/>
      <c r="AZ63" s="129"/>
      <c r="BA63" s="130"/>
      <c r="BB63" s="130"/>
      <c r="BC63" s="130"/>
      <c r="BD63" s="130"/>
      <c r="BE63" s="130"/>
      <c r="BF63" s="131"/>
      <c r="BG63" s="129"/>
      <c r="BH63" s="130"/>
      <c r="BI63" s="130"/>
      <c r="BJ63" s="130"/>
      <c r="BK63" s="131"/>
      <c r="BL63" s="129"/>
      <c r="BM63" s="130"/>
      <c r="BN63" s="130"/>
      <c r="BO63" s="130"/>
      <c r="BP63" s="130"/>
      <c r="BQ63" s="130"/>
      <c r="BR63" s="130"/>
      <c r="BS63" s="131"/>
      <c r="BT63" s="132"/>
      <c r="BU63" s="132"/>
      <c r="BV63" s="132"/>
      <c r="BW63" s="132"/>
      <c r="BX63" s="132"/>
      <c r="BY63" s="129"/>
      <c r="BZ63" s="130"/>
      <c r="CA63" s="130"/>
      <c r="CB63" s="130"/>
      <c r="CC63" s="130"/>
      <c r="CD63" s="131"/>
      <c r="CE63" s="132"/>
      <c r="CF63" s="132"/>
      <c r="CG63" s="132"/>
      <c r="CH63" s="132"/>
      <c r="CI63" s="132"/>
      <c r="CJ63" s="129"/>
      <c r="CK63" s="130"/>
      <c r="CL63" s="131"/>
      <c r="CM63" s="132"/>
      <c r="CN63" s="132"/>
      <c r="CO63" s="132"/>
      <c r="CP63" s="129"/>
      <c r="CQ63" s="130"/>
      <c r="CR63" s="130"/>
      <c r="CS63" s="130"/>
      <c r="CT63" s="131"/>
      <c r="CU63" s="129"/>
      <c r="CV63" s="130"/>
      <c r="CW63" s="130"/>
      <c r="CX63" s="130"/>
      <c r="CY63" s="130"/>
      <c r="CZ63" s="131"/>
      <c r="DA63" s="129"/>
      <c r="DB63" s="130"/>
      <c r="DC63" s="130"/>
      <c r="DD63" s="130"/>
      <c r="DE63" s="131"/>
      <c r="DF63" s="129"/>
      <c r="DG63" s="130"/>
      <c r="DH63" s="130"/>
      <c r="DI63" s="130"/>
      <c r="DJ63" s="130"/>
      <c r="DK63" s="131"/>
      <c r="DL63" s="129"/>
      <c r="DM63" s="130"/>
      <c r="DN63" s="130"/>
      <c r="DO63" s="130"/>
      <c r="DP63" s="130"/>
      <c r="DQ63" s="131"/>
      <c r="DR63" s="129"/>
      <c r="DS63" s="130"/>
      <c r="DT63" s="130"/>
      <c r="DU63" s="130"/>
      <c r="DV63" s="130"/>
      <c r="DW63" s="131"/>
      <c r="DX63" s="129"/>
      <c r="DY63" s="130"/>
      <c r="DZ63" s="130"/>
      <c r="EA63" s="130"/>
      <c r="EB63" s="130"/>
      <c r="EC63" s="131"/>
      <c r="ED63" s="129"/>
      <c r="EE63" s="130"/>
      <c r="EF63" s="130"/>
      <c r="EG63" s="130"/>
      <c r="EH63" s="130"/>
      <c r="EI63" s="130"/>
      <c r="EJ63" s="129"/>
      <c r="EK63" s="130"/>
      <c r="EL63" s="130"/>
      <c r="EM63" s="130"/>
      <c r="EN63" s="130"/>
      <c r="EO63" s="130"/>
      <c r="EP63" s="130"/>
      <c r="EQ63" s="130"/>
      <c r="ER63" s="130"/>
      <c r="ES63" s="130"/>
      <c r="ET63" s="130"/>
      <c r="EU63" s="130"/>
      <c r="EV63" s="130"/>
      <c r="EW63" s="130"/>
      <c r="EX63" s="130"/>
      <c r="EY63" s="130"/>
      <c r="EZ63" s="133"/>
      <c r="FA63" s="132"/>
      <c r="FB63" s="132"/>
      <c r="FC63" s="132"/>
      <c r="FD63" s="132"/>
      <c r="FE63" s="132"/>
      <c r="FF63" s="129"/>
      <c r="FG63" s="130"/>
      <c r="FH63" s="130"/>
      <c r="FI63" s="130"/>
      <c r="FJ63" s="129"/>
      <c r="FK63" s="130"/>
      <c r="FL63" s="131"/>
      <c r="FM63" s="129"/>
      <c r="FY63" s="97" t="s">
        <v>149</v>
      </c>
      <c r="GB63" s="97" t="s">
        <v>149</v>
      </c>
    </row>
    <row r="64" spans="1:184">
      <c r="A64" s="95" t="s">
        <v>250</v>
      </c>
      <c r="B64" s="96" t="s">
        <v>272</v>
      </c>
      <c r="C64" s="95">
        <v>2</v>
      </c>
      <c r="D64" s="95">
        <f>COUNTA(E64:KX64)</f>
        <v>3</v>
      </c>
      <c r="E64" s="129"/>
      <c r="F64" s="130"/>
      <c r="G64" s="130"/>
      <c r="H64" s="130"/>
      <c r="I64" s="130"/>
      <c r="J64" s="130"/>
      <c r="K64" s="131"/>
      <c r="L64" s="129" t="s">
        <v>217</v>
      </c>
      <c r="M64" s="130"/>
      <c r="N64" s="130"/>
      <c r="O64" s="131"/>
      <c r="P64" s="129"/>
      <c r="Q64" s="130"/>
      <c r="R64" s="130"/>
      <c r="S64" s="130"/>
      <c r="T64" s="130"/>
      <c r="U64" s="131"/>
      <c r="V64" s="129"/>
      <c r="W64" s="130"/>
      <c r="X64" s="130"/>
      <c r="Y64" s="130" t="s">
        <v>217</v>
      </c>
      <c r="Z64" s="130"/>
      <c r="AA64" s="130"/>
      <c r="AB64" s="131"/>
      <c r="AC64" s="129"/>
      <c r="AD64" s="130"/>
      <c r="AE64" s="130"/>
      <c r="AF64" s="130"/>
      <c r="AG64" s="130"/>
      <c r="AH64" s="131"/>
      <c r="AI64" s="129"/>
      <c r="AJ64" s="130"/>
      <c r="AK64" s="130"/>
      <c r="AL64" s="130"/>
      <c r="AM64" s="130"/>
      <c r="AN64" s="130"/>
      <c r="AO64" s="131"/>
      <c r="AP64" s="129" t="s">
        <v>217</v>
      </c>
      <c r="AQ64" s="130"/>
      <c r="AR64" s="130"/>
      <c r="AS64" s="131"/>
      <c r="AT64" s="129"/>
      <c r="AU64" s="130"/>
      <c r="AV64" s="130"/>
      <c r="AW64" s="130"/>
      <c r="AX64" s="130"/>
      <c r="AY64" s="131"/>
      <c r="AZ64" s="129"/>
      <c r="BA64" s="130"/>
      <c r="BB64" s="130"/>
      <c r="BC64" s="130"/>
      <c r="BD64" s="130"/>
      <c r="BE64" s="130"/>
      <c r="BF64" s="131"/>
      <c r="BG64" s="129"/>
      <c r="BH64" s="130"/>
      <c r="BI64" s="130"/>
      <c r="BJ64" s="130"/>
      <c r="BK64" s="131"/>
      <c r="BL64" s="129"/>
      <c r="BM64" s="130"/>
      <c r="BN64" s="130"/>
      <c r="BO64" s="130"/>
      <c r="BP64" s="130"/>
      <c r="BQ64" s="130"/>
      <c r="BR64" s="130"/>
      <c r="BS64" s="131"/>
      <c r="BT64" s="132"/>
      <c r="BU64" s="132"/>
      <c r="BV64" s="132"/>
      <c r="BW64" s="132"/>
      <c r="BX64" s="132"/>
      <c r="BY64" s="129"/>
      <c r="BZ64" s="130"/>
      <c r="CA64" s="130"/>
      <c r="CB64" s="130"/>
      <c r="CC64" s="130"/>
      <c r="CD64" s="131"/>
      <c r="CE64" s="132"/>
      <c r="CF64" s="132"/>
      <c r="CG64" s="132"/>
      <c r="CH64" s="132"/>
      <c r="CI64" s="132"/>
      <c r="CJ64" s="129"/>
      <c r="CK64" s="130"/>
      <c r="CL64" s="131"/>
      <c r="CM64" s="132"/>
      <c r="CN64" s="132"/>
      <c r="CO64" s="132"/>
      <c r="CP64" s="129"/>
      <c r="CQ64" s="130"/>
      <c r="CR64" s="130"/>
      <c r="CS64" s="130"/>
      <c r="CT64" s="131"/>
      <c r="CU64" s="129"/>
      <c r="CV64" s="130"/>
      <c r="CW64" s="130"/>
      <c r="CX64" s="130"/>
      <c r="CY64" s="130"/>
      <c r="CZ64" s="131"/>
      <c r="DA64" s="129"/>
      <c r="DB64" s="130"/>
      <c r="DC64" s="130"/>
      <c r="DD64" s="130"/>
      <c r="DE64" s="131"/>
      <c r="DF64" s="129"/>
      <c r="DG64" s="130"/>
      <c r="DH64" s="130"/>
      <c r="DI64" s="130"/>
      <c r="DJ64" s="130"/>
      <c r="DK64" s="131"/>
      <c r="DL64" s="129"/>
      <c r="DM64" s="130"/>
      <c r="DN64" s="130"/>
      <c r="DO64" s="130"/>
      <c r="DP64" s="130"/>
      <c r="DQ64" s="131"/>
      <c r="DR64" s="129"/>
      <c r="DS64" s="130"/>
      <c r="DT64" s="130"/>
      <c r="DU64" s="130"/>
      <c r="DV64" s="130"/>
      <c r="DW64" s="131"/>
      <c r="DX64" s="129"/>
      <c r="DY64" s="130"/>
      <c r="DZ64" s="130"/>
      <c r="EA64" s="130"/>
      <c r="EB64" s="130"/>
      <c r="EC64" s="131"/>
      <c r="ED64" s="129"/>
      <c r="EE64" s="130"/>
      <c r="EF64" s="130"/>
      <c r="EG64" s="130"/>
      <c r="EH64" s="130"/>
      <c r="EI64" s="130"/>
      <c r="EJ64" s="129"/>
      <c r="EK64" s="130"/>
      <c r="EL64" s="130"/>
      <c r="EM64" s="130"/>
      <c r="EN64" s="130"/>
      <c r="EO64" s="130"/>
      <c r="EP64" s="130"/>
      <c r="EQ64" s="130"/>
      <c r="ER64" s="130"/>
      <c r="ES64" s="130"/>
      <c r="ET64" s="130"/>
      <c r="EU64" s="130"/>
      <c r="EV64" s="130"/>
      <c r="EW64" s="130"/>
      <c r="EX64" s="130"/>
      <c r="EY64" s="130"/>
      <c r="EZ64" s="133"/>
      <c r="FA64" s="132"/>
      <c r="FB64" s="132"/>
      <c r="FC64" s="132"/>
      <c r="FD64" s="132"/>
      <c r="FE64" s="132"/>
      <c r="FF64" s="129"/>
      <c r="FG64" s="130"/>
      <c r="FH64" s="130"/>
      <c r="FI64" s="130"/>
      <c r="FJ64" s="129"/>
      <c r="FK64" s="130"/>
      <c r="FL64" s="131"/>
      <c r="FM64" s="129"/>
    </row>
    <row r="65" spans="1:177">
      <c r="A65" s="95" t="s">
        <v>250</v>
      </c>
      <c r="B65" s="96" t="s">
        <v>273</v>
      </c>
      <c r="C65" s="95">
        <v>2</v>
      </c>
      <c r="D65" s="95">
        <f>COUNTA(E65:KX65)</f>
        <v>8</v>
      </c>
      <c r="E65" s="129"/>
      <c r="F65" s="130"/>
      <c r="G65" s="130"/>
      <c r="H65" s="130"/>
      <c r="I65" s="130"/>
      <c r="J65" s="130" t="s">
        <v>217</v>
      </c>
      <c r="K65" s="131"/>
      <c r="L65" s="129" t="s">
        <v>217</v>
      </c>
      <c r="M65" s="130"/>
      <c r="N65" s="130"/>
      <c r="O65" s="131"/>
      <c r="P65" s="129"/>
      <c r="Q65" s="130"/>
      <c r="R65" s="130"/>
      <c r="S65" s="130"/>
      <c r="T65" s="130" t="s">
        <v>217</v>
      </c>
      <c r="U65" s="131"/>
      <c r="V65" s="129"/>
      <c r="W65" s="130"/>
      <c r="X65" s="130"/>
      <c r="Y65" s="130"/>
      <c r="Z65" s="130" t="s">
        <v>217</v>
      </c>
      <c r="AA65" s="130"/>
      <c r="AB65" s="131"/>
      <c r="AC65" s="129"/>
      <c r="AD65" s="130"/>
      <c r="AE65" s="130"/>
      <c r="AF65" s="130"/>
      <c r="AG65" s="130"/>
      <c r="AH65" s="131"/>
      <c r="AI65" s="129"/>
      <c r="AJ65" s="130"/>
      <c r="AK65" s="130"/>
      <c r="AL65" s="130"/>
      <c r="AM65" s="130"/>
      <c r="AN65" s="130"/>
      <c r="AO65" s="131"/>
      <c r="AP65" s="129" t="s">
        <v>217</v>
      </c>
      <c r="AQ65" s="130"/>
      <c r="AR65" s="130"/>
      <c r="AS65" s="131"/>
      <c r="AT65" s="129"/>
      <c r="AU65" s="130"/>
      <c r="AV65" s="130"/>
      <c r="AW65" s="130"/>
      <c r="AX65" s="130"/>
      <c r="AY65" s="131"/>
      <c r="AZ65" s="129"/>
      <c r="BA65" s="130"/>
      <c r="BB65" s="130"/>
      <c r="BC65" s="130"/>
      <c r="BD65" s="130"/>
      <c r="BE65" s="130"/>
      <c r="BF65" s="131"/>
      <c r="BG65" s="129"/>
      <c r="BH65" s="130"/>
      <c r="BI65" s="130"/>
      <c r="BJ65" s="130"/>
      <c r="BK65" s="131"/>
      <c r="BL65" s="129" t="s">
        <v>217</v>
      </c>
      <c r="BM65" s="130"/>
      <c r="BN65" s="130"/>
      <c r="BO65" s="130"/>
      <c r="BP65" s="130"/>
      <c r="BQ65" s="130"/>
      <c r="BR65" s="130"/>
      <c r="BS65" s="131"/>
      <c r="BT65" s="132"/>
      <c r="BU65" s="132"/>
      <c r="BV65" s="132"/>
      <c r="BW65" s="132"/>
      <c r="BX65" s="132"/>
      <c r="BY65" s="129"/>
      <c r="BZ65" s="130"/>
      <c r="CA65" s="130"/>
      <c r="CB65" s="130"/>
      <c r="CC65" s="130"/>
      <c r="CD65" s="131"/>
      <c r="CE65" s="132"/>
      <c r="CF65" s="132"/>
      <c r="CG65" s="132"/>
      <c r="CH65" s="132"/>
      <c r="CI65" s="132"/>
      <c r="CJ65" s="129"/>
      <c r="CK65" s="130"/>
      <c r="CL65" s="131"/>
      <c r="CM65" s="132"/>
      <c r="CN65" s="132"/>
      <c r="CO65" s="132"/>
      <c r="CP65" s="129"/>
      <c r="CQ65" s="130"/>
      <c r="CR65" s="130"/>
      <c r="CS65" s="130"/>
      <c r="CT65" s="131"/>
      <c r="CU65" s="129" t="s">
        <v>217</v>
      </c>
      <c r="CV65" s="130" t="s">
        <v>217</v>
      </c>
      <c r="CW65" s="130"/>
      <c r="CX65" s="130"/>
      <c r="CY65" s="130"/>
      <c r="CZ65" s="131"/>
      <c r="DA65" s="129"/>
      <c r="DB65" s="130"/>
      <c r="DC65" s="130"/>
      <c r="DD65" s="130"/>
      <c r="DE65" s="131"/>
      <c r="DF65" s="129"/>
      <c r="DG65" s="130"/>
      <c r="DH65" s="130"/>
      <c r="DI65" s="130"/>
      <c r="DJ65" s="130"/>
      <c r="DK65" s="131"/>
      <c r="DL65" s="129"/>
      <c r="DM65" s="130"/>
      <c r="DN65" s="130"/>
      <c r="DO65" s="130"/>
      <c r="DP65" s="130"/>
      <c r="DQ65" s="131"/>
      <c r="DR65" s="129"/>
      <c r="DS65" s="130"/>
      <c r="DT65" s="130"/>
      <c r="DU65" s="130"/>
      <c r="DV65" s="130"/>
      <c r="DW65" s="131"/>
      <c r="DX65" s="129"/>
      <c r="DY65" s="130"/>
      <c r="DZ65" s="130"/>
      <c r="EA65" s="130"/>
      <c r="EB65" s="130"/>
      <c r="EC65" s="131"/>
      <c r="ED65" s="129"/>
      <c r="EE65" s="130"/>
      <c r="EF65" s="130"/>
      <c r="EG65" s="130"/>
      <c r="EH65" s="130"/>
      <c r="EI65" s="130"/>
      <c r="EJ65" s="129"/>
      <c r="EK65" s="130"/>
      <c r="EL65" s="130"/>
      <c r="EM65" s="130"/>
      <c r="EN65" s="130"/>
      <c r="EO65" s="130"/>
      <c r="EP65" s="130"/>
      <c r="EQ65" s="130"/>
      <c r="ER65" s="130"/>
      <c r="ES65" s="130"/>
      <c r="ET65" s="130"/>
      <c r="EU65" s="130"/>
      <c r="EV65" s="130"/>
      <c r="EW65" s="130"/>
      <c r="EX65" s="130"/>
      <c r="EY65" s="130"/>
      <c r="EZ65" s="133"/>
      <c r="FA65" s="132"/>
      <c r="FB65" s="132"/>
      <c r="FC65" s="132"/>
      <c r="FD65" s="132"/>
      <c r="FE65" s="132"/>
      <c r="FF65" s="129"/>
      <c r="FG65" s="130"/>
      <c r="FH65" s="130"/>
      <c r="FI65" s="130"/>
      <c r="FJ65" s="129"/>
      <c r="FK65" s="130"/>
      <c r="FL65" s="131"/>
      <c r="FM65" s="129"/>
    </row>
    <row r="66" spans="1:177">
      <c r="A66" s="95" t="s">
        <v>255</v>
      </c>
      <c r="B66" s="96" t="s">
        <v>274</v>
      </c>
      <c r="C66" s="95">
        <v>1</v>
      </c>
      <c r="D66" s="95">
        <f>COUNTA(E66:KX66)</f>
        <v>0</v>
      </c>
      <c r="E66" s="129"/>
      <c r="F66" s="130"/>
      <c r="G66" s="130"/>
      <c r="H66" s="130"/>
      <c r="I66" s="130"/>
      <c r="J66" s="130"/>
      <c r="K66" s="131"/>
      <c r="L66" s="129"/>
      <c r="M66" s="130"/>
      <c r="N66" s="130"/>
      <c r="O66" s="131"/>
      <c r="P66" s="129"/>
      <c r="Q66" s="130"/>
      <c r="R66" s="130"/>
      <c r="S66" s="130"/>
      <c r="T66" s="130"/>
      <c r="U66" s="131"/>
      <c r="V66" s="129"/>
      <c r="W66" s="130"/>
      <c r="X66" s="130"/>
      <c r="Y66" s="130"/>
      <c r="Z66" s="130"/>
      <c r="AA66" s="130"/>
      <c r="AB66" s="131"/>
      <c r="AC66" s="129"/>
      <c r="AD66" s="130"/>
      <c r="AE66" s="130"/>
      <c r="AF66" s="130"/>
      <c r="AG66" s="130"/>
      <c r="AH66" s="131"/>
      <c r="AI66" s="129"/>
      <c r="AJ66" s="130"/>
      <c r="AK66" s="130"/>
      <c r="AL66" s="130"/>
      <c r="AM66" s="130"/>
      <c r="AN66" s="130"/>
      <c r="AO66" s="131"/>
      <c r="AP66" s="129"/>
      <c r="AQ66" s="130"/>
      <c r="AR66" s="130"/>
      <c r="AS66" s="131"/>
      <c r="AT66" s="129"/>
      <c r="AU66" s="130"/>
      <c r="AV66" s="130"/>
      <c r="AW66" s="130"/>
      <c r="AX66" s="130"/>
      <c r="AY66" s="131"/>
      <c r="AZ66" s="129"/>
      <c r="BA66" s="130"/>
      <c r="BB66" s="130"/>
      <c r="BC66" s="130"/>
      <c r="BD66" s="130"/>
      <c r="BE66" s="130"/>
      <c r="BF66" s="131"/>
      <c r="BG66" s="129"/>
      <c r="BH66" s="130"/>
      <c r="BI66" s="130"/>
      <c r="BJ66" s="130"/>
      <c r="BK66" s="131"/>
      <c r="BL66" s="129"/>
      <c r="BM66" s="130"/>
      <c r="BN66" s="130"/>
      <c r="BO66" s="130"/>
      <c r="BP66" s="130"/>
      <c r="BQ66" s="130"/>
      <c r="BR66" s="130"/>
      <c r="BS66" s="131"/>
      <c r="BT66" s="132"/>
      <c r="BU66" s="132"/>
      <c r="BV66" s="132"/>
      <c r="BW66" s="132"/>
      <c r="BX66" s="132"/>
      <c r="BY66" s="129"/>
      <c r="BZ66" s="130"/>
      <c r="CA66" s="130"/>
      <c r="CB66" s="130"/>
      <c r="CC66" s="130"/>
      <c r="CD66" s="131"/>
      <c r="CE66" s="132"/>
      <c r="CF66" s="132"/>
      <c r="CG66" s="132"/>
      <c r="CH66" s="132"/>
      <c r="CI66" s="132"/>
      <c r="CJ66" s="129"/>
      <c r="CK66" s="130"/>
      <c r="CL66" s="131"/>
      <c r="CM66" s="132"/>
      <c r="CN66" s="132"/>
      <c r="CO66" s="132"/>
      <c r="CP66" s="129"/>
      <c r="CQ66" s="130"/>
      <c r="CR66" s="130"/>
      <c r="CS66" s="130"/>
      <c r="CT66" s="131"/>
      <c r="CU66" s="129"/>
      <c r="CV66" s="130"/>
      <c r="CW66" s="130"/>
      <c r="CX66" s="130"/>
      <c r="CY66" s="130"/>
      <c r="CZ66" s="131"/>
      <c r="DA66" s="129"/>
      <c r="DB66" s="130"/>
      <c r="DC66" s="130"/>
      <c r="DD66" s="130"/>
      <c r="DE66" s="131"/>
      <c r="DF66" s="129"/>
      <c r="DG66" s="130"/>
      <c r="DH66" s="130"/>
      <c r="DI66" s="130"/>
      <c r="DJ66" s="130"/>
      <c r="DK66" s="131"/>
      <c r="DL66" s="129"/>
      <c r="DM66" s="130"/>
      <c r="DN66" s="130"/>
      <c r="DO66" s="130"/>
      <c r="DP66" s="130"/>
      <c r="DQ66" s="131"/>
      <c r="DR66" s="129"/>
      <c r="DS66" s="130"/>
      <c r="DT66" s="130"/>
      <c r="DU66" s="130"/>
      <c r="DV66" s="130"/>
      <c r="DW66" s="131"/>
      <c r="DX66" s="129"/>
      <c r="DY66" s="130"/>
      <c r="DZ66" s="130"/>
      <c r="EA66" s="130"/>
      <c r="EB66" s="130"/>
      <c r="EC66" s="131"/>
      <c r="ED66" s="129"/>
      <c r="EE66" s="130"/>
      <c r="EF66" s="130"/>
      <c r="EG66" s="130"/>
      <c r="EH66" s="130"/>
      <c r="EI66" s="130"/>
      <c r="EJ66" s="129"/>
      <c r="EK66" s="130"/>
      <c r="EL66" s="130"/>
      <c r="EM66" s="130"/>
      <c r="EN66" s="130"/>
      <c r="EO66" s="130"/>
      <c r="EP66" s="130"/>
      <c r="EQ66" s="130"/>
      <c r="ER66" s="130"/>
      <c r="ES66" s="130"/>
      <c r="ET66" s="130"/>
      <c r="EU66" s="130"/>
      <c r="EV66" s="130"/>
      <c r="EW66" s="130"/>
      <c r="EX66" s="130"/>
      <c r="EY66" s="130"/>
      <c r="EZ66" s="133"/>
      <c r="FA66" s="132"/>
      <c r="FB66" s="132"/>
      <c r="FC66" s="132"/>
      <c r="FD66" s="132"/>
      <c r="FE66" s="132"/>
      <c r="FF66" s="129"/>
      <c r="FG66" s="130"/>
      <c r="FH66" s="130"/>
      <c r="FI66" s="130"/>
      <c r="FJ66" s="129"/>
      <c r="FK66" s="130"/>
      <c r="FL66" s="131"/>
      <c r="FM66" s="129"/>
    </row>
    <row r="67" spans="1:177">
      <c r="A67" s="95" t="s">
        <v>250</v>
      </c>
      <c r="B67" s="96" t="s">
        <v>275</v>
      </c>
      <c r="C67" s="95">
        <v>2</v>
      </c>
      <c r="D67" s="95">
        <f>COUNTA(E67:KX67)</f>
        <v>6</v>
      </c>
      <c r="E67" s="129"/>
      <c r="F67" s="130"/>
      <c r="G67" s="130"/>
      <c r="H67" s="130"/>
      <c r="I67" s="130"/>
      <c r="J67" s="130"/>
      <c r="K67" s="131"/>
      <c r="L67" s="129" t="s">
        <v>217</v>
      </c>
      <c r="M67" s="130"/>
      <c r="N67" s="130"/>
      <c r="O67" s="131"/>
      <c r="P67" s="129"/>
      <c r="Q67" s="130"/>
      <c r="R67" s="130"/>
      <c r="S67" s="130"/>
      <c r="T67" s="130"/>
      <c r="U67" s="131"/>
      <c r="V67" s="129"/>
      <c r="W67" s="130"/>
      <c r="X67" s="130"/>
      <c r="Y67" s="130"/>
      <c r="Z67" s="130" t="s">
        <v>217</v>
      </c>
      <c r="AA67" s="130"/>
      <c r="AB67" s="131"/>
      <c r="AC67" s="129"/>
      <c r="AD67" s="130"/>
      <c r="AE67" s="130"/>
      <c r="AF67" s="130"/>
      <c r="AG67" s="130"/>
      <c r="AH67" s="131"/>
      <c r="AI67" s="129"/>
      <c r="AJ67" s="130"/>
      <c r="AK67" s="130"/>
      <c r="AL67" s="130"/>
      <c r="AM67" s="130"/>
      <c r="AN67" s="130"/>
      <c r="AO67" s="131"/>
      <c r="AP67" s="129"/>
      <c r="AQ67" s="130"/>
      <c r="AR67" s="130"/>
      <c r="AS67" s="131"/>
      <c r="AT67" s="129"/>
      <c r="AU67" s="130"/>
      <c r="AV67" s="130"/>
      <c r="AW67" s="130"/>
      <c r="AX67" s="130"/>
      <c r="AY67" s="131"/>
      <c r="AZ67" s="129"/>
      <c r="BA67" s="130"/>
      <c r="BB67" s="130"/>
      <c r="BC67" s="130"/>
      <c r="BD67" s="130"/>
      <c r="BE67" s="130"/>
      <c r="BF67" s="131"/>
      <c r="BG67" s="129"/>
      <c r="BH67" s="130"/>
      <c r="BI67" s="130"/>
      <c r="BJ67" s="130"/>
      <c r="BK67" s="131"/>
      <c r="BL67" s="129" t="s">
        <v>217</v>
      </c>
      <c r="BM67" s="130"/>
      <c r="BN67" s="130"/>
      <c r="BO67" s="130"/>
      <c r="BP67" s="130"/>
      <c r="BQ67" s="130"/>
      <c r="BR67" s="130"/>
      <c r="BS67" s="131"/>
      <c r="BT67" s="132"/>
      <c r="BU67" s="132"/>
      <c r="BV67" s="132"/>
      <c r="BW67" s="132"/>
      <c r="BX67" s="132"/>
      <c r="BY67" s="129"/>
      <c r="BZ67" s="130"/>
      <c r="CA67" s="130"/>
      <c r="CB67" s="130"/>
      <c r="CC67" s="130"/>
      <c r="CD67" s="131"/>
      <c r="CE67" s="132"/>
      <c r="CF67" s="132"/>
      <c r="CG67" s="132"/>
      <c r="CH67" s="132"/>
      <c r="CI67" s="132"/>
      <c r="CJ67" s="129"/>
      <c r="CK67" s="130"/>
      <c r="CL67" s="131"/>
      <c r="CM67" s="132"/>
      <c r="CN67" s="132"/>
      <c r="CO67" s="132"/>
      <c r="CP67" s="129"/>
      <c r="CQ67" s="130"/>
      <c r="CR67" s="130"/>
      <c r="CS67" s="130"/>
      <c r="CT67" s="131"/>
      <c r="CU67" s="129" t="s">
        <v>217</v>
      </c>
      <c r="CV67" s="130" t="s">
        <v>217</v>
      </c>
      <c r="CW67" s="130"/>
      <c r="CX67" s="130"/>
      <c r="CY67" s="130"/>
      <c r="CZ67" s="131"/>
      <c r="DA67" s="129" t="s">
        <v>217</v>
      </c>
      <c r="DB67" s="130"/>
      <c r="DC67" s="130"/>
      <c r="DD67" s="130"/>
      <c r="DE67" s="131"/>
      <c r="DF67" s="129"/>
      <c r="DG67" s="130"/>
      <c r="DH67" s="130"/>
      <c r="DI67" s="130"/>
      <c r="DJ67" s="130"/>
      <c r="DK67" s="131"/>
      <c r="DL67" s="129"/>
      <c r="DM67" s="130"/>
      <c r="DN67" s="130"/>
      <c r="DO67" s="130"/>
      <c r="DP67" s="130"/>
      <c r="DQ67" s="131"/>
      <c r="DR67" s="129"/>
      <c r="DS67" s="130"/>
      <c r="DT67" s="130"/>
      <c r="DU67" s="130"/>
      <c r="DV67" s="130"/>
      <c r="DW67" s="131"/>
      <c r="DX67" s="129"/>
      <c r="DY67" s="130"/>
      <c r="DZ67" s="130"/>
      <c r="EA67" s="130"/>
      <c r="EB67" s="130"/>
      <c r="EC67" s="131"/>
      <c r="ED67" s="129"/>
      <c r="EE67" s="130"/>
      <c r="EF67" s="130"/>
      <c r="EG67" s="130"/>
      <c r="EH67" s="130"/>
      <c r="EI67" s="130"/>
      <c r="EJ67" s="129"/>
      <c r="EK67" s="130"/>
      <c r="EL67" s="130"/>
      <c r="EM67" s="130"/>
      <c r="EN67" s="130"/>
      <c r="EO67" s="130"/>
      <c r="EP67" s="130"/>
      <c r="EQ67" s="130"/>
      <c r="ER67" s="130"/>
      <c r="ES67" s="130"/>
      <c r="ET67" s="130"/>
      <c r="EU67" s="130"/>
      <c r="EV67" s="130"/>
      <c r="EW67" s="130"/>
      <c r="EX67" s="130"/>
      <c r="EY67" s="130"/>
      <c r="EZ67" s="133"/>
      <c r="FA67" s="132"/>
      <c r="FB67" s="132"/>
      <c r="FC67" s="132"/>
      <c r="FD67" s="132"/>
      <c r="FE67" s="132"/>
      <c r="FF67" s="129"/>
      <c r="FG67" s="130"/>
      <c r="FH67" s="130"/>
      <c r="FI67" s="130"/>
      <c r="FJ67" s="129"/>
      <c r="FK67" s="130"/>
      <c r="FL67" s="131"/>
      <c r="FM67" s="129"/>
    </row>
    <row r="68" spans="1:177">
      <c r="A68" s="95" t="s">
        <v>250</v>
      </c>
      <c r="B68" s="96" t="s">
        <v>276</v>
      </c>
      <c r="C68" s="95">
        <v>1</v>
      </c>
      <c r="D68" s="95">
        <f>COUNTA(E68:KX68)</f>
        <v>27</v>
      </c>
      <c r="E68" s="129"/>
      <c r="F68" s="130"/>
      <c r="G68" s="130"/>
      <c r="H68" s="130"/>
      <c r="I68" s="130"/>
      <c r="J68" s="130"/>
      <c r="K68" s="131"/>
      <c r="L68" s="129"/>
      <c r="M68" s="130"/>
      <c r="N68" s="130"/>
      <c r="O68" s="131"/>
      <c r="P68" s="129"/>
      <c r="Q68" s="130"/>
      <c r="R68" s="130"/>
      <c r="S68" s="130"/>
      <c r="T68" s="130"/>
      <c r="U68" s="131"/>
      <c r="V68" s="129"/>
      <c r="W68" s="130"/>
      <c r="X68" s="130"/>
      <c r="Y68" s="130"/>
      <c r="Z68" s="130"/>
      <c r="AA68" s="130"/>
      <c r="AB68" s="131"/>
      <c r="AC68" s="129"/>
      <c r="AD68" s="130"/>
      <c r="AE68" s="130"/>
      <c r="AF68" s="130"/>
      <c r="AG68" s="130" t="s">
        <v>217</v>
      </c>
      <c r="AH68" s="131"/>
      <c r="AI68" s="129" t="s">
        <v>217</v>
      </c>
      <c r="AJ68" s="130" t="s">
        <v>217</v>
      </c>
      <c r="AK68" s="130" t="s">
        <v>217</v>
      </c>
      <c r="AL68" s="130"/>
      <c r="AM68" s="130"/>
      <c r="AN68" s="130"/>
      <c r="AO68" s="131"/>
      <c r="AP68" s="129"/>
      <c r="AQ68" s="130" t="s">
        <v>217</v>
      </c>
      <c r="AR68" s="130" t="s">
        <v>217</v>
      </c>
      <c r="AS68" s="131"/>
      <c r="AT68" s="129" t="s">
        <v>217</v>
      </c>
      <c r="AU68" s="130" t="s">
        <v>217</v>
      </c>
      <c r="AV68" s="130"/>
      <c r="AW68" s="130"/>
      <c r="AX68" s="130"/>
      <c r="AY68" s="131"/>
      <c r="AZ68" s="129" t="s">
        <v>217</v>
      </c>
      <c r="BA68" s="130" t="s">
        <v>217</v>
      </c>
      <c r="BB68" s="130"/>
      <c r="BC68" s="130"/>
      <c r="BD68" s="130"/>
      <c r="BE68" s="130"/>
      <c r="BF68" s="131"/>
      <c r="BG68" s="129" t="s">
        <v>217</v>
      </c>
      <c r="BH68" s="130" t="s">
        <v>217</v>
      </c>
      <c r="BI68" s="130"/>
      <c r="BJ68" s="130"/>
      <c r="BK68" s="131"/>
      <c r="BL68" s="129"/>
      <c r="BM68" s="130"/>
      <c r="BN68" s="130"/>
      <c r="BO68" s="130"/>
      <c r="BP68" s="130"/>
      <c r="BQ68" s="130" t="s">
        <v>217</v>
      </c>
      <c r="BR68" s="130" t="s">
        <v>217</v>
      </c>
      <c r="BS68" s="131"/>
      <c r="BT68" s="132"/>
      <c r="BU68" s="132" t="s">
        <v>217</v>
      </c>
      <c r="BV68" s="132"/>
      <c r="BW68" s="132" t="s">
        <v>217</v>
      </c>
      <c r="BX68" s="132"/>
      <c r="BY68" s="129"/>
      <c r="BZ68" s="130" t="s">
        <v>217</v>
      </c>
      <c r="CA68" s="130" t="s">
        <v>217</v>
      </c>
      <c r="CB68" s="130"/>
      <c r="CC68" s="130"/>
      <c r="CD68" s="131" t="s">
        <v>217</v>
      </c>
      <c r="CE68" s="132"/>
      <c r="CF68" s="132" t="s">
        <v>217</v>
      </c>
      <c r="CG68" s="132"/>
      <c r="CH68" s="132" t="s">
        <v>217</v>
      </c>
      <c r="CI68" s="132"/>
      <c r="CJ68" s="129" t="s">
        <v>217</v>
      </c>
      <c r="CK68" s="130" t="s">
        <v>217</v>
      </c>
      <c r="CL68" s="131"/>
      <c r="CM68" s="132" t="s">
        <v>217</v>
      </c>
      <c r="CN68" s="132"/>
      <c r="CO68" s="132"/>
      <c r="CP68" s="129"/>
      <c r="CQ68" s="130"/>
      <c r="CR68" s="130"/>
      <c r="CS68" s="130"/>
      <c r="CT68" s="131"/>
      <c r="CU68" s="129" t="s">
        <v>217</v>
      </c>
      <c r="CV68" s="130" t="s">
        <v>217</v>
      </c>
      <c r="CW68" s="130"/>
      <c r="CX68" s="130"/>
      <c r="CY68" s="130"/>
      <c r="CZ68" s="131"/>
      <c r="DA68" s="129" t="s">
        <v>217</v>
      </c>
      <c r="DB68" s="130"/>
      <c r="DC68" s="130"/>
      <c r="DD68" s="130"/>
      <c r="DE68" s="131"/>
      <c r="DF68" s="129"/>
      <c r="DG68" s="130"/>
      <c r="DH68" s="130"/>
      <c r="DI68" s="130"/>
      <c r="DJ68" s="130"/>
      <c r="DK68" s="131"/>
      <c r="DL68" s="129"/>
      <c r="DM68" s="130"/>
      <c r="DN68" s="130"/>
      <c r="DO68" s="130"/>
      <c r="DP68" s="130"/>
      <c r="DQ68" s="131"/>
      <c r="DR68" s="129"/>
      <c r="DS68" s="130"/>
      <c r="DT68" s="130"/>
      <c r="DU68" s="130"/>
      <c r="DV68" s="130"/>
      <c r="DW68" s="131"/>
      <c r="DX68" s="129"/>
      <c r="DY68" s="130"/>
      <c r="DZ68" s="130"/>
      <c r="EA68" s="130"/>
      <c r="EB68" s="130"/>
      <c r="EC68" s="131"/>
      <c r="ED68" s="129"/>
      <c r="EE68" s="130"/>
      <c r="EF68" s="130"/>
      <c r="EG68" s="130"/>
      <c r="EH68" s="130"/>
      <c r="EI68" s="130"/>
      <c r="EJ68" s="129"/>
      <c r="EK68" s="130"/>
      <c r="EL68" s="130"/>
      <c r="EM68" s="130"/>
      <c r="EN68" s="130"/>
      <c r="EO68" s="130"/>
      <c r="EP68" s="130"/>
      <c r="EQ68" s="130"/>
      <c r="ER68" s="130"/>
      <c r="ES68" s="130"/>
      <c r="ET68" s="130"/>
      <c r="EU68" s="130"/>
      <c r="EV68" s="130"/>
      <c r="EW68" s="130"/>
      <c r="EX68" s="130"/>
      <c r="EY68" s="130"/>
      <c r="EZ68" s="133"/>
      <c r="FA68" s="132"/>
      <c r="FB68" s="132"/>
      <c r="FC68" s="132"/>
      <c r="FD68" s="132"/>
      <c r="FE68" s="132"/>
      <c r="FF68" s="129"/>
      <c r="FG68" s="130"/>
      <c r="FH68" s="130"/>
      <c r="FI68" s="130"/>
      <c r="FJ68" s="129"/>
      <c r="FK68" s="130"/>
      <c r="FL68" s="131"/>
      <c r="FM68" s="129"/>
    </row>
    <row r="69" spans="1:177">
      <c r="A69" s="95" t="s">
        <v>250</v>
      </c>
      <c r="B69" s="96" t="s">
        <v>277</v>
      </c>
      <c r="D69" s="95">
        <f>COUNTA(E69:KX69)</f>
        <v>1</v>
      </c>
      <c r="E69" s="129"/>
      <c r="F69" s="130"/>
      <c r="G69" s="130"/>
      <c r="H69" s="130"/>
      <c r="I69" s="130"/>
      <c r="J69" s="130"/>
      <c r="K69" s="131"/>
      <c r="L69" s="129"/>
      <c r="M69" s="130"/>
      <c r="N69" s="130"/>
      <c r="O69" s="131"/>
      <c r="P69" s="129"/>
      <c r="Q69" s="130"/>
      <c r="R69" s="130"/>
      <c r="S69" s="130"/>
      <c r="T69" s="130"/>
      <c r="U69" s="131"/>
      <c r="V69" s="129"/>
      <c r="W69" s="130"/>
      <c r="X69" s="130"/>
      <c r="Y69" s="130"/>
      <c r="Z69" s="130"/>
      <c r="AA69" s="130"/>
      <c r="AB69" s="131"/>
      <c r="AC69" s="129"/>
      <c r="AD69" s="130"/>
      <c r="AE69" s="130"/>
      <c r="AF69" s="130"/>
      <c r="AG69" s="130"/>
      <c r="AH69" s="131"/>
      <c r="AI69" s="129"/>
      <c r="AJ69" s="130"/>
      <c r="AK69" s="130"/>
      <c r="AL69" s="130"/>
      <c r="AM69" s="130"/>
      <c r="AN69" s="130"/>
      <c r="AO69" s="131"/>
      <c r="AP69" s="129"/>
      <c r="AQ69" s="130"/>
      <c r="AR69" s="130"/>
      <c r="AS69" s="131"/>
      <c r="AT69" s="129"/>
      <c r="AU69" s="130"/>
      <c r="AV69" s="130"/>
      <c r="AW69" s="130"/>
      <c r="AX69" s="130"/>
      <c r="AY69" s="131"/>
      <c r="AZ69" s="129"/>
      <c r="BA69" s="130"/>
      <c r="BB69" s="130"/>
      <c r="BC69" s="130"/>
      <c r="BD69" s="130"/>
      <c r="BE69" s="130"/>
      <c r="BF69" s="131"/>
      <c r="BG69" s="129"/>
      <c r="BH69" s="130"/>
      <c r="BI69" s="130"/>
      <c r="BJ69" s="130"/>
      <c r="BK69" s="131"/>
      <c r="BL69" s="129"/>
      <c r="BM69" s="130"/>
      <c r="BN69" s="130"/>
      <c r="BO69" s="130"/>
      <c r="BP69" s="130"/>
      <c r="BQ69" s="130"/>
      <c r="BR69" s="130"/>
      <c r="BS69" s="131"/>
      <c r="BT69" s="132"/>
      <c r="BU69" s="132"/>
      <c r="BV69" s="132"/>
      <c r="BW69" s="132"/>
      <c r="BX69" s="132"/>
      <c r="BY69" s="129"/>
      <c r="BZ69" s="130"/>
      <c r="CA69" s="130"/>
      <c r="CB69" s="130"/>
      <c r="CC69" s="130"/>
      <c r="CD69" s="131"/>
      <c r="CE69" s="132"/>
      <c r="CF69" s="132"/>
      <c r="CG69" s="132"/>
      <c r="CH69" s="132"/>
      <c r="CI69" s="132"/>
      <c r="CJ69" s="129"/>
      <c r="CK69" s="130"/>
      <c r="CL69" s="131"/>
      <c r="CM69" s="132"/>
      <c r="CN69" s="132"/>
      <c r="CO69" s="132"/>
      <c r="CP69" s="129" t="s">
        <v>217</v>
      </c>
      <c r="CQ69" s="130"/>
      <c r="CR69" s="130"/>
      <c r="CS69" s="130"/>
      <c r="CT69" s="131"/>
      <c r="CU69" s="129"/>
      <c r="CV69" s="130"/>
      <c r="CW69" s="130"/>
      <c r="CX69" s="130"/>
      <c r="CY69" s="130"/>
      <c r="CZ69" s="131"/>
      <c r="DA69" s="129"/>
      <c r="DB69" s="130"/>
      <c r="DC69" s="130"/>
      <c r="DD69" s="130"/>
      <c r="DE69" s="131"/>
      <c r="DF69" s="129"/>
      <c r="DG69" s="130"/>
      <c r="DH69" s="130"/>
      <c r="DI69" s="130"/>
      <c r="DJ69" s="130"/>
      <c r="DK69" s="131"/>
      <c r="DL69" s="129"/>
      <c r="DM69" s="130"/>
      <c r="DN69" s="130"/>
      <c r="DO69" s="130"/>
      <c r="DP69" s="130"/>
      <c r="DQ69" s="131"/>
      <c r="DR69" s="129"/>
      <c r="DS69" s="130"/>
      <c r="DT69" s="130"/>
      <c r="DU69" s="130"/>
      <c r="DV69" s="130"/>
      <c r="DW69" s="131"/>
      <c r="DX69" s="129"/>
      <c r="DY69" s="130"/>
      <c r="DZ69" s="130"/>
      <c r="EA69" s="130"/>
      <c r="EB69" s="130"/>
      <c r="EC69" s="131"/>
      <c r="ED69" s="129"/>
      <c r="EE69" s="130"/>
      <c r="EF69" s="130"/>
      <c r="EG69" s="130"/>
      <c r="EH69" s="130"/>
      <c r="EI69" s="130"/>
      <c r="EJ69" s="129"/>
      <c r="EK69" s="130"/>
      <c r="EL69" s="130"/>
      <c r="EM69" s="130"/>
      <c r="EN69" s="130"/>
      <c r="EO69" s="130"/>
      <c r="EP69" s="130"/>
      <c r="EQ69" s="130"/>
      <c r="ER69" s="130"/>
      <c r="ES69" s="130"/>
      <c r="ET69" s="130"/>
      <c r="EU69" s="130"/>
      <c r="EV69" s="130"/>
      <c r="EW69" s="130"/>
      <c r="EX69" s="130"/>
      <c r="EY69" s="130"/>
      <c r="EZ69" s="133"/>
      <c r="FA69" s="132"/>
      <c r="FB69" s="132"/>
      <c r="FC69" s="132"/>
      <c r="FD69" s="132"/>
      <c r="FE69" s="132"/>
      <c r="FF69" s="129"/>
      <c r="FG69" s="130"/>
      <c r="FH69" s="130"/>
      <c r="FI69" s="130"/>
      <c r="FJ69" s="129"/>
      <c r="FK69" s="130"/>
      <c r="FL69" s="131"/>
      <c r="FM69" s="129"/>
    </row>
    <row r="70" spans="1:177">
      <c r="A70" s="95" t="s">
        <v>278</v>
      </c>
      <c r="B70" s="96" t="s">
        <v>279</v>
      </c>
      <c r="C70" s="95">
        <v>3</v>
      </c>
      <c r="D70" s="95">
        <f>COUNTA(E70:KX70)</f>
        <v>8</v>
      </c>
      <c r="E70" s="129"/>
      <c r="F70" s="130"/>
      <c r="G70" s="130"/>
      <c r="H70" s="130" t="s">
        <v>217</v>
      </c>
      <c r="I70" s="130" t="s">
        <v>217</v>
      </c>
      <c r="J70" s="130"/>
      <c r="K70" s="131" t="s">
        <v>217</v>
      </c>
      <c r="L70" s="129"/>
      <c r="M70" s="130"/>
      <c r="N70" s="130"/>
      <c r="O70" s="131"/>
      <c r="P70" s="129"/>
      <c r="Q70" s="130"/>
      <c r="R70" s="130"/>
      <c r="S70" s="130"/>
      <c r="T70" s="130"/>
      <c r="U70" s="131"/>
      <c r="V70" s="129"/>
      <c r="W70" s="130"/>
      <c r="X70" s="130"/>
      <c r="Y70" s="130"/>
      <c r="Z70" s="130"/>
      <c r="AA70" s="130"/>
      <c r="AB70" s="131"/>
      <c r="AC70" s="129"/>
      <c r="AD70" s="130"/>
      <c r="AE70" s="130"/>
      <c r="AF70" s="130"/>
      <c r="AG70" s="130"/>
      <c r="AH70" s="131"/>
      <c r="AI70" s="129"/>
      <c r="AJ70" s="130"/>
      <c r="AK70" s="130"/>
      <c r="AL70" s="130" t="s">
        <v>217</v>
      </c>
      <c r="AM70" s="130" t="s">
        <v>217</v>
      </c>
      <c r="AN70" s="130"/>
      <c r="AO70" s="131"/>
      <c r="AP70" s="129"/>
      <c r="AQ70" s="130"/>
      <c r="AR70" s="130"/>
      <c r="AS70" s="131"/>
      <c r="AT70" s="129"/>
      <c r="AU70" s="130"/>
      <c r="AV70" s="130"/>
      <c r="AW70" s="130"/>
      <c r="AX70" s="130"/>
      <c r="AY70" s="131"/>
      <c r="AZ70" s="129"/>
      <c r="BA70" s="130"/>
      <c r="BB70" s="130"/>
      <c r="BC70" s="130"/>
      <c r="BD70" s="130"/>
      <c r="BE70" s="130"/>
      <c r="BF70" s="131"/>
      <c r="BG70" s="129"/>
      <c r="BH70" s="130"/>
      <c r="BI70" s="130"/>
      <c r="BJ70" s="130"/>
      <c r="BK70" s="131"/>
      <c r="BL70" s="129"/>
      <c r="BM70" s="130" t="s">
        <v>217</v>
      </c>
      <c r="BN70" s="130" t="s">
        <v>217</v>
      </c>
      <c r="BO70" s="130"/>
      <c r="BP70" s="130"/>
      <c r="BQ70" s="130"/>
      <c r="BR70" s="130"/>
      <c r="BS70" s="131" t="s">
        <v>217</v>
      </c>
      <c r="BT70" s="132"/>
      <c r="BU70" s="132"/>
      <c r="BV70" s="132"/>
      <c r="BW70" s="132"/>
      <c r="BX70" s="132"/>
      <c r="BY70" s="129"/>
      <c r="BZ70" s="130"/>
      <c r="CA70" s="130"/>
      <c r="CB70" s="130"/>
      <c r="CC70" s="130"/>
      <c r="CD70" s="131"/>
      <c r="CE70" s="132"/>
      <c r="CF70" s="132"/>
      <c r="CG70" s="132"/>
      <c r="CH70" s="132"/>
      <c r="CI70" s="132"/>
      <c r="CJ70" s="129"/>
      <c r="CK70" s="130"/>
      <c r="CL70" s="131"/>
      <c r="CM70" s="132"/>
      <c r="CN70" s="132"/>
      <c r="CO70" s="132"/>
      <c r="CP70" s="129"/>
      <c r="CQ70" s="130"/>
      <c r="CR70" s="130"/>
      <c r="CS70" s="130"/>
      <c r="CT70" s="131"/>
      <c r="CU70" s="129"/>
      <c r="CV70" s="130"/>
      <c r="CW70" s="130"/>
      <c r="CX70" s="130"/>
      <c r="CY70" s="130"/>
      <c r="CZ70" s="131"/>
      <c r="DA70" s="129"/>
      <c r="DB70" s="130"/>
      <c r="DC70" s="130"/>
      <c r="DD70" s="130"/>
      <c r="DE70" s="131"/>
      <c r="DF70" s="129"/>
      <c r="DG70" s="130"/>
      <c r="DH70" s="130"/>
      <c r="DI70" s="130"/>
      <c r="DJ70" s="130"/>
      <c r="DK70" s="131"/>
      <c r="DL70" s="129"/>
      <c r="DM70" s="130"/>
      <c r="DN70" s="130"/>
      <c r="DO70" s="130"/>
      <c r="DP70" s="130"/>
      <c r="DQ70" s="131"/>
      <c r="DR70" s="129"/>
      <c r="DS70" s="130"/>
      <c r="DT70" s="130"/>
      <c r="DU70" s="130"/>
      <c r="DV70" s="130"/>
      <c r="DW70" s="131"/>
      <c r="DX70" s="129"/>
      <c r="DY70" s="130"/>
      <c r="DZ70" s="130"/>
      <c r="EA70" s="130"/>
      <c r="EB70" s="130"/>
      <c r="EC70" s="131"/>
      <c r="ED70" s="129"/>
      <c r="EE70" s="130"/>
      <c r="EF70" s="130"/>
      <c r="EG70" s="130"/>
      <c r="EH70" s="130"/>
      <c r="EI70" s="130"/>
      <c r="EJ70" s="129"/>
      <c r="EK70" s="130"/>
      <c r="EL70" s="130"/>
      <c r="EM70" s="130"/>
      <c r="EN70" s="130"/>
      <c r="EO70" s="130"/>
      <c r="EP70" s="130"/>
      <c r="EQ70" s="130"/>
      <c r="ER70" s="130"/>
      <c r="ES70" s="130"/>
      <c r="ET70" s="130"/>
      <c r="EU70" s="130"/>
      <c r="EV70" s="130"/>
      <c r="EW70" s="130"/>
      <c r="EX70" s="130"/>
      <c r="EY70" s="130"/>
      <c r="EZ70" s="133"/>
      <c r="FA70" s="132"/>
      <c r="FB70" s="132"/>
      <c r="FC70" s="132"/>
      <c r="FD70" s="132"/>
      <c r="FE70" s="132"/>
      <c r="FF70" s="129"/>
      <c r="FG70" s="130"/>
      <c r="FH70" s="130"/>
      <c r="FI70" s="130"/>
      <c r="FJ70" s="129"/>
      <c r="FK70" s="130"/>
      <c r="FL70" s="131"/>
      <c r="FM70" s="129"/>
    </row>
    <row r="71" spans="1:177">
      <c r="A71" s="95" t="s">
        <v>278</v>
      </c>
      <c r="B71" s="96" t="s">
        <v>280</v>
      </c>
      <c r="C71" s="95">
        <v>2</v>
      </c>
      <c r="D71" s="95">
        <f>COUNTA(E71:KX71)</f>
        <v>7</v>
      </c>
      <c r="E71" s="129"/>
      <c r="F71" s="130"/>
      <c r="G71" s="130"/>
      <c r="H71" s="130"/>
      <c r="I71" s="130"/>
      <c r="J71" s="130"/>
      <c r="K71" s="131"/>
      <c r="L71" s="129"/>
      <c r="M71" s="130"/>
      <c r="N71" s="130"/>
      <c r="O71" s="131"/>
      <c r="P71" s="129"/>
      <c r="Q71" s="130"/>
      <c r="R71" s="130" t="s">
        <v>217</v>
      </c>
      <c r="S71" s="130"/>
      <c r="T71" s="130"/>
      <c r="U71" s="131" t="s">
        <v>217</v>
      </c>
      <c r="V71" s="129"/>
      <c r="W71" s="130"/>
      <c r="X71" s="130"/>
      <c r="Y71" s="130"/>
      <c r="Z71" s="130"/>
      <c r="AA71" s="130"/>
      <c r="AB71" s="131"/>
      <c r="AC71" s="129"/>
      <c r="AD71" s="130"/>
      <c r="AE71" s="130"/>
      <c r="AF71" s="130"/>
      <c r="AG71" s="130"/>
      <c r="AH71" s="131"/>
      <c r="AI71" s="129"/>
      <c r="AJ71" s="130"/>
      <c r="AK71" s="130"/>
      <c r="AL71" s="130"/>
      <c r="AM71" s="130"/>
      <c r="AN71" s="130"/>
      <c r="AO71" s="131"/>
      <c r="AP71" s="129"/>
      <c r="AQ71" s="130"/>
      <c r="AR71" s="130"/>
      <c r="AS71" s="131"/>
      <c r="AT71" s="129"/>
      <c r="AU71" s="130"/>
      <c r="AV71" s="130" t="s">
        <v>217</v>
      </c>
      <c r="AW71" s="130"/>
      <c r="AX71" s="130"/>
      <c r="AY71" s="131"/>
      <c r="AZ71" s="129"/>
      <c r="BA71" s="130"/>
      <c r="BB71" s="130"/>
      <c r="BC71" s="130"/>
      <c r="BD71" s="130"/>
      <c r="BE71" s="130"/>
      <c r="BF71" s="131"/>
      <c r="BG71" s="129"/>
      <c r="BH71" s="130"/>
      <c r="BI71" s="130"/>
      <c r="BJ71" s="130"/>
      <c r="BK71" s="131"/>
      <c r="BL71" s="129"/>
      <c r="BM71" s="130"/>
      <c r="BN71" s="130"/>
      <c r="BO71" s="130" t="s">
        <v>217</v>
      </c>
      <c r="BP71" s="130" t="s">
        <v>217</v>
      </c>
      <c r="BQ71" s="130" t="s">
        <v>217</v>
      </c>
      <c r="BR71" s="130"/>
      <c r="BS71" s="131" t="s">
        <v>217</v>
      </c>
      <c r="BT71" s="132"/>
      <c r="BU71" s="132"/>
      <c r="BV71" s="132"/>
      <c r="BW71" s="132"/>
      <c r="BX71" s="132"/>
      <c r="BY71" s="129"/>
      <c r="BZ71" s="130"/>
      <c r="CA71" s="130"/>
      <c r="CB71" s="130"/>
      <c r="CC71" s="130"/>
      <c r="CD71" s="131"/>
      <c r="CE71" s="132"/>
      <c r="CF71" s="132"/>
      <c r="CG71" s="132"/>
      <c r="CH71" s="132"/>
      <c r="CI71" s="132"/>
      <c r="CJ71" s="129"/>
      <c r="CK71" s="130"/>
      <c r="CL71" s="131"/>
      <c r="CM71" s="132"/>
      <c r="CN71" s="132"/>
      <c r="CO71" s="132"/>
      <c r="CP71" s="129"/>
      <c r="CQ71" s="130"/>
      <c r="CR71" s="130"/>
      <c r="CS71" s="130"/>
      <c r="CT71" s="131"/>
      <c r="CU71" s="129"/>
      <c r="CV71" s="130"/>
      <c r="CW71" s="130"/>
      <c r="CX71" s="130"/>
      <c r="CY71" s="130"/>
      <c r="CZ71" s="131"/>
      <c r="DA71" s="129"/>
      <c r="DB71" s="130"/>
      <c r="DC71" s="130"/>
      <c r="DD71" s="130"/>
      <c r="DE71" s="131"/>
      <c r="DF71" s="129"/>
      <c r="DG71" s="130"/>
      <c r="DH71" s="130"/>
      <c r="DI71" s="130"/>
      <c r="DJ71" s="130"/>
      <c r="DK71" s="131"/>
      <c r="DL71" s="129"/>
      <c r="DM71" s="130"/>
      <c r="DN71" s="130"/>
      <c r="DO71" s="130"/>
      <c r="DP71" s="130"/>
      <c r="DQ71" s="131"/>
      <c r="DR71" s="129"/>
      <c r="DS71" s="130"/>
      <c r="DT71" s="130"/>
      <c r="DU71" s="130"/>
      <c r="DV71" s="130"/>
      <c r="DW71" s="131"/>
      <c r="DX71" s="129"/>
      <c r="DY71" s="130"/>
      <c r="DZ71" s="130"/>
      <c r="EA71" s="130"/>
      <c r="EB71" s="130"/>
      <c r="EC71" s="131"/>
      <c r="ED71" s="129"/>
      <c r="EE71" s="130"/>
      <c r="EF71" s="130"/>
      <c r="EG71" s="130"/>
      <c r="EH71" s="130"/>
      <c r="EI71" s="130"/>
      <c r="EJ71" s="129"/>
      <c r="EK71" s="130"/>
      <c r="EL71" s="130"/>
      <c r="EM71" s="130"/>
      <c r="EN71" s="130"/>
      <c r="EO71" s="130"/>
      <c r="EP71" s="130"/>
      <c r="EQ71" s="130"/>
      <c r="ER71" s="130"/>
      <c r="ES71" s="130"/>
      <c r="ET71" s="130"/>
      <c r="EU71" s="130"/>
      <c r="EV71" s="130"/>
      <c r="EW71" s="130"/>
      <c r="EX71" s="130"/>
      <c r="EY71" s="130"/>
      <c r="EZ71" s="133"/>
      <c r="FA71" s="132"/>
      <c r="FB71" s="132"/>
      <c r="FC71" s="132"/>
      <c r="FD71" s="132"/>
      <c r="FE71" s="132"/>
      <c r="FF71" s="129"/>
      <c r="FG71" s="130"/>
      <c r="FH71" s="130"/>
      <c r="FI71" s="130"/>
      <c r="FJ71" s="129"/>
      <c r="FK71" s="130"/>
      <c r="FL71" s="131"/>
      <c r="FM71" s="129"/>
    </row>
    <row r="72" spans="1:177">
      <c r="A72" s="95" t="s">
        <v>278</v>
      </c>
      <c r="B72" s="96" t="s">
        <v>281</v>
      </c>
      <c r="C72" s="95">
        <v>1</v>
      </c>
      <c r="D72" s="95">
        <f>COUNTA(E72:KX72)</f>
        <v>22</v>
      </c>
      <c r="E72" s="129" t="s">
        <v>217</v>
      </c>
      <c r="F72" s="130" t="s">
        <v>217</v>
      </c>
      <c r="G72" s="130" t="s">
        <v>217</v>
      </c>
      <c r="H72" s="130"/>
      <c r="I72" s="130"/>
      <c r="J72" s="130"/>
      <c r="K72" s="131" t="s">
        <v>217</v>
      </c>
      <c r="L72" s="129"/>
      <c r="M72" s="130"/>
      <c r="N72" s="130"/>
      <c r="O72" s="131" t="s">
        <v>217</v>
      </c>
      <c r="P72" s="129" t="s">
        <v>217</v>
      </c>
      <c r="Q72" s="130" t="s">
        <v>217</v>
      </c>
      <c r="R72" s="130"/>
      <c r="S72" s="130"/>
      <c r="T72" s="130"/>
      <c r="U72" s="131"/>
      <c r="V72" s="129" t="s">
        <v>217</v>
      </c>
      <c r="W72" s="130" t="s">
        <v>217</v>
      </c>
      <c r="X72" s="130"/>
      <c r="Y72" s="130"/>
      <c r="Z72" s="130"/>
      <c r="AA72" s="130"/>
      <c r="AB72" s="131"/>
      <c r="AC72" s="129" t="s">
        <v>217</v>
      </c>
      <c r="AD72" s="130" t="s">
        <v>217</v>
      </c>
      <c r="AE72" s="130"/>
      <c r="AF72" s="130"/>
      <c r="AG72" s="130"/>
      <c r="AH72" s="131"/>
      <c r="AI72" s="129" t="s">
        <v>217</v>
      </c>
      <c r="AJ72" s="130" t="s">
        <v>217</v>
      </c>
      <c r="AK72" s="130" t="s">
        <v>217</v>
      </c>
      <c r="AL72" s="130"/>
      <c r="AM72" s="130"/>
      <c r="AN72" s="130"/>
      <c r="AO72" s="131"/>
      <c r="AP72" s="129"/>
      <c r="AQ72" s="130" t="s">
        <v>217</v>
      </c>
      <c r="AR72" s="130" t="s">
        <v>217</v>
      </c>
      <c r="AS72" s="131"/>
      <c r="AT72" s="129" t="s">
        <v>217</v>
      </c>
      <c r="AU72" s="130" t="s">
        <v>217</v>
      </c>
      <c r="AV72" s="130"/>
      <c r="AW72" s="130"/>
      <c r="AX72" s="130"/>
      <c r="AY72" s="131"/>
      <c r="AZ72" s="129" t="s">
        <v>217</v>
      </c>
      <c r="BA72" s="130" t="s">
        <v>217</v>
      </c>
      <c r="BB72" s="130"/>
      <c r="BC72" s="130"/>
      <c r="BD72" s="130"/>
      <c r="BE72" s="130"/>
      <c r="BF72" s="131"/>
      <c r="BG72" s="129" t="s">
        <v>217</v>
      </c>
      <c r="BH72" s="130" t="s">
        <v>217</v>
      </c>
      <c r="BI72" s="130"/>
      <c r="BJ72" s="130"/>
      <c r="BK72" s="131"/>
      <c r="BL72" s="129"/>
      <c r="BM72" s="130"/>
      <c r="BN72" s="130"/>
      <c r="BO72" s="130"/>
      <c r="BP72" s="130"/>
      <c r="BQ72" s="130"/>
      <c r="BR72" s="130"/>
      <c r="BS72" s="131"/>
      <c r="BT72" s="132"/>
      <c r="BU72" s="132"/>
      <c r="BV72" s="132"/>
      <c r="BW72" s="132"/>
      <c r="BX72" s="132"/>
      <c r="BY72" s="129"/>
      <c r="BZ72" s="130"/>
      <c r="CA72" s="130"/>
      <c r="CB72" s="130"/>
      <c r="CC72" s="130"/>
      <c r="CD72" s="131"/>
      <c r="CE72" s="132"/>
      <c r="CF72" s="132"/>
      <c r="CG72" s="132"/>
      <c r="CH72" s="132"/>
      <c r="CI72" s="132"/>
      <c r="CJ72" s="129"/>
      <c r="CK72" s="130"/>
      <c r="CL72" s="131"/>
      <c r="CM72" s="132"/>
      <c r="CN72" s="132"/>
      <c r="CO72" s="132"/>
      <c r="CP72" s="129"/>
      <c r="CQ72" s="130"/>
      <c r="CR72" s="130"/>
      <c r="CS72" s="130"/>
      <c r="CT72" s="131"/>
      <c r="CU72" s="129"/>
      <c r="CV72" s="130"/>
      <c r="CW72" s="130"/>
      <c r="CX72" s="130"/>
      <c r="CY72" s="130"/>
      <c r="CZ72" s="131"/>
      <c r="DA72" s="129"/>
      <c r="DB72" s="130"/>
      <c r="DC72" s="130"/>
      <c r="DD72" s="130"/>
      <c r="DE72" s="131"/>
      <c r="DF72" s="129"/>
      <c r="DG72" s="130"/>
      <c r="DH72" s="130"/>
      <c r="DI72" s="130"/>
      <c r="DJ72" s="130"/>
      <c r="DK72" s="131"/>
      <c r="DL72" s="129"/>
      <c r="DM72" s="130"/>
      <c r="DN72" s="130"/>
      <c r="DO72" s="130"/>
      <c r="DP72" s="130"/>
      <c r="DQ72" s="131"/>
      <c r="DR72" s="129"/>
      <c r="DS72" s="130"/>
      <c r="DT72" s="130"/>
      <c r="DU72" s="130"/>
      <c r="DV72" s="130"/>
      <c r="DW72" s="131"/>
      <c r="DX72" s="129"/>
      <c r="DY72" s="130"/>
      <c r="DZ72" s="130"/>
      <c r="EA72" s="130"/>
      <c r="EB72" s="130"/>
      <c r="EC72" s="131"/>
      <c r="ED72" s="129"/>
      <c r="EE72" s="130"/>
      <c r="EF72" s="130"/>
      <c r="EG72" s="130"/>
      <c r="EH72" s="130"/>
      <c r="EI72" s="130"/>
      <c r="EJ72" s="129"/>
      <c r="EK72" s="130"/>
      <c r="EL72" s="130"/>
      <c r="EM72" s="130"/>
      <c r="EN72" s="130"/>
      <c r="EO72" s="130"/>
      <c r="EP72" s="130"/>
      <c r="EQ72" s="130"/>
      <c r="ER72" s="130"/>
      <c r="ES72" s="130"/>
      <c r="ET72" s="130"/>
      <c r="EU72" s="130"/>
      <c r="EV72" s="130"/>
      <c r="EW72" s="130"/>
      <c r="EX72" s="130"/>
      <c r="EY72" s="130"/>
      <c r="EZ72" s="133"/>
      <c r="FA72" s="132"/>
      <c r="FB72" s="132"/>
      <c r="FC72" s="132"/>
      <c r="FD72" s="132"/>
      <c r="FE72" s="132"/>
      <c r="FF72" s="129"/>
      <c r="FG72" s="130"/>
      <c r="FH72" s="130"/>
      <c r="FI72" s="130"/>
      <c r="FJ72" s="129"/>
      <c r="FK72" s="130"/>
      <c r="FL72" s="131"/>
      <c r="FM72" s="129"/>
    </row>
    <row r="73" spans="1:177">
      <c r="A73" s="95" t="s">
        <v>278</v>
      </c>
      <c r="B73" s="96" t="s">
        <v>282</v>
      </c>
      <c r="C73" s="95">
        <v>2</v>
      </c>
      <c r="D73" s="95">
        <f>COUNTA(E73:KX73)</f>
        <v>5</v>
      </c>
      <c r="E73" s="129"/>
      <c r="F73" s="130"/>
      <c r="G73" s="130"/>
      <c r="H73" s="130"/>
      <c r="I73" s="130"/>
      <c r="J73" s="130"/>
      <c r="K73" s="131"/>
      <c r="L73" s="129"/>
      <c r="M73" s="130"/>
      <c r="N73" s="130"/>
      <c r="O73" s="131"/>
      <c r="P73" s="129"/>
      <c r="Q73" s="130"/>
      <c r="R73" s="130"/>
      <c r="S73" s="130" t="s">
        <v>217</v>
      </c>
      <c r="T73" s="130"/>
      <c r="U73" s="131"/>
      <c r="V73" s="129"/>
      <c r="W73" s="130"/>
      <c r="X73" s="130"/>
      <c r="Y73" s="130" t="s">
        <v>217</v>
      </c>
      <c r="Z73" s="130"/>
      <c r="AA73" s="130"/>
      <c r="AB73" s="131"/>
      <c r="AC73" s="129"/>
      <c r="AD73" s="130"/>
      <c r="AE73" s="130"/>
      <c r="AF73" s="130"/>
      <c r="AG73" s="130" t="s">
        <v>217</v>
      </c>
      <c r="AH73" s="131"/>
      <c r="AI73" s="129"/>
      <c r="AJ73" s="130"/>
      <c r="AK73" s="130"/>
      <c r="AL73" s="130"/>
      <c r="AM73" s="130"/>
      <c r="AN73" s="130"/>
      <c r="AO73" s="131"/>
      <c r="AP73" s="129"/>
      <c r="AQ73" s="130"/>
      <c r="AR73" s="130"/>
      <c r="AS73" s="131"/>
      <c r="AT73" s="129"/>
      <c r="AU73" s="130"/>
      <c r="AV73" s="130"/>
      <c r="AW73" s="130" t="s">
        <v>217</v>
      </c>
      <c r="AX73" s="130"/>
      <c r="AY73" s="131"/>
      <c r="AZ73" s="129"/>
      <c r="BA73" s="130"/>
      <c r="BB73" s="130"/>
      <c r="BC73" s="130"/>
      <c r="BD73" s="130" t="s">
        <v>217</v>
      </c>
      <c r="BE73" s="130"/>
      <c r="BF73" s="131"/>
      <c r="BG73" s="129"/>
      <c r="BH73" s="130"/>
      <c r="BI73" s="130"/>
      <c r="BJ73" s="130"/>
      <c r="BK73" s="131"/>
      <c r="BL73" s="129"/>
      <c r="BM73" s="130"/>
      <c r="BN73" s="130"/>
      <c r="BO73" s="130"/>
      <c r="BP73" s="130"/>
      <c r="BQ73" s="130"/>
      <c r="BR73" s="130"/>
      <c r="BS73" s="131"/>
      <c r="BT73" s="132"/>
      <c r="BU73" s="132"/>
      <c r="BV73" s="132"/>
      <c r="BW73" s="132"/>
      <c r="BX73" s="132"/>
      <c r="BY73" s="129"/>
      <c r="BZ73" s="130"/>
      <c r="CA73" s="130"/>
      <c r="CB73" s="130"/>
      <c r="CC73" s="130"/>
      <c r="CD73" s="131"/>
      <c r="CE73" s="132"/>
      <c r="CF73" s="132"/>
      <c r="CG73" s="132"/>
      <c r="CH73" s="132"/>
      <c r="CI73" s="132"/>
      <c r="CJ73" s="129"/>
      <c r="CK73" s="130"/>
      <c r="CL73" s="131"/>
      <c r="CM73" s="132"/>
      <c r="CN73" s="132"/>
      <c r="CO73" s="132"/>
      <c r="CP73" s="129"/>
      <c r="CQ73" s="130"/>
      <c r="CR73" s="130"/>
      <c r="CS73" s="130"/>
      <c r="CT73" s="131"/>
      <c r="CU73" s="129"/>
      <c r="CV73" s="130"/>
      <c r="CW73" s="130"/>
      <c r="CX73" s="130"/>
      <c r="CY73" s="130"/>
      <c r="CZ73" s="131"/>
      <c r="DA73" s="129"/>
      <c r="DB73" s="130"/>
      <c r="DC73" s="130"/>
      <c r="DD73" s="130"/>
      <c r="DE73" s="131"/>
      <c r="DF73" s="129"/>
      <c r="DG73" s="130"/>
      <c r="DH73" s="130"/>
      <c r="DI73" s="130"/>
      <c r="DJ73" s="130"/>
      <c r="DK73" s="131"/>
      <c r="DL73" s="129"/>
      <c r="DM73" s="130"/>
      <c r="DN73" s="130"/>
      <c r="DO73" s="130"/>
      <c r="DP73" s="130"/>
      <c r="DQ73" s="131"/>
      <c r="DR73" s="129"/>
      <c r="DS73" s="130"/>
      <c r="DT73" s="130"/>
      <c r="DU73" s="130"/>
      <c r="DV73" s="130"/>
      <c r="DW73" s="131"/>
      <c r="DX73" s="129"/>
      <c r="DY73" s="130"/>
      <c r="DZ73" s="130"/>
      <c r="EA73" s="130"/>
      <c r="EB73" s="130"/>
      <c r="EC73" s="131"/>
      <c r="ED73" s="129"/>
      <c r="EE73" s="130"/>
      <c r="EF73" s="130"/>
      <c r="EG73" s="130"/>
      <c r="EH73" s="130"/>
      <c r="EI73" s="130"/>
      <c r="EJ73" s="129"/>
      <c r="EK73" s="130"/>
      <c r="EL73" s="130"/>
      <c r="EM73" s="130"/>
      <c r="EN73" s="130"/>
      <c r="EO73" s="130"/>
      <c r="EP73" s="130"/>
      <c r="EQ73" s="130"/>
      <c r="ER73" s="130"/>
      <c r="ES73" s="130"/>
      <c r="ET73" s="130"/>
      <c r="EU73" s="130"/>
      <c r="EV73" s="130"/>
      <c r="EW73" s="130"/>
      <c r="EX73" s="130"/>
      <c r="EY73" s="130"/>
      <c r="EZ73" s="133"/>
      <c r="FA73" s="132"/>
      <c r="FB73" s="132"/>
      <c r="FC73" s="132"/>
      <c r="FD73" s="132"/>
      <c r="FE73" s="132"/>
      <c r="FF73" s="129"/>
      <c r="FG73" s="130"/>
      <c r="FH73" s="130"/>
      <c r="FI73" s="130"/>
      <c r="FJ73" s="129"/>
      <c r="FK73" s="130"/>
      <c r="FL73" s="131"/>
      <c r="FM73" s="129"/>
    </row>
    <row r="74" spans="1:177" ht="30">
      <c r="A74" s="95" t="s">
        <v>278</v>
      </c>
      <c r="B74" s="96" t="s">
        <v>283</v>
      </c>
      <c r="C74" s="95">
        <v>2</v>
      </c>
      <c r="D74" s="95">
        <f>COUNTA(E74:KX74)</f>
        <v>13</v>
      </c>
      <c r="E74" s="129"/>
      <c r="F74" s="130"/>
      <c r="G74" s="130"/>
      <c r="H74" s="130"/>
      <c r="I74" s="130"/>
      <c r="J74" s="130"/>
      <c r="K74" s="131"/>
      <c r="L74" s="129" t="s">
        <v>217</v>
      </c>
      <c r="M74" s="130"/>
      <c r="N74" s="130"/>
      <c r="O74" s="131" t="s">
        <v>217</v>
      </c>
      <c r="P74" s="129"/>
      <c r="Q74" s="130"/>
      <c r="R74" s="130"/>
      <c r="S74" s="130"/>
      <c r="T74" s="130" t="s">
        <v>217</v>
      </c>
      <c r="U74" s="131" t="s">
        <v>217</v>
      </c>
      <c r="V74" s="129"/>
      <c r="W74" s="130"/>
      <c r="X74" s="130"/>
      <c r="Y74" s="130"/>
      <c r="Z74" s="130" t="s">
        <v>217</v>
      </c>
      <c r="AA74" s="130"/>
      <c r="AB74" s="131"/>
      <c r="AC74" s="129"/>
      <c r="AD74" s="130"/>
      <c r="AE74" s="130" t="s">
        <v>217</v>
      </c>
      <c r="AF74" s="130"/>
      <c r="AG74" s="130"/>
      <c r="AH74" s="131" t="s">
        <v>217</v>
      </c>
      <c r="AI74" s="129"/>
      <c r="AJ74" s="130"/>
      <c r="AK74" s="130"/>
      <c r="AL74" s="130"/>
      <c r="AM74" s="130"/>
      <c r="AN74" s="130"/>
      <c r="AO74" s="131"/>
      <c r="AP74" s="129" t="s">
        <v>217</v>
      </c>
      <c r="AQ74" s="130"/>
      <c r="AR74" s="130"/>
      <c r="AS74" s="131" t="s">
        <v>217</v>
      </c>
      <c r="AT74" s="129"/>
      <c r="AU74" s="130"/>
      <c r="AV74" s="130"/>
      <c r="AW74" s="130"/>
      <c r="AX74" s="130" t="s">
        <v>217</v>
      </c>
      <c r="AY74" s="131" t="s">
        <v>217</v>
      </c>
      <c r="AZ74" s="129"/>
      <c r="BA74" s="130"/>
      <c r="BB74" s="130" t="s">
        <v>217</v>
      </c>
      <c r="BC74" s="130"/>
      <c r="BD74" s="130"/>
      <c r="BE74" s="130" t="s">
        <v>217</v>
      </c>
      <c r="BF74" s="131"/>
      <c r="BG74" s="129"/>
      <c r="BH74" s="130"/>
      <c r="BI74" s="130"/>
      <c r="BJ74" s="130"/>
      <c r="BK74" s="131"/>
      <c r="BL74" s="129"/>
      <c r="BM74" s="130"/>
      <c r="BN74" s="130"/>
      <c r="BO74" s="130"/>
      <c r="BP74" s="130"/>
      <c r="BQ74" s="130"/>
      <c r="BR74" s="130"/>
      <c r="BS74" s="131"/>
      <c r="BT74" s="132"/>
      <c r="BU74" s="132"/>
      <c r="BV74" s="132"/>
      <c r="BW74" s="132"/>
      <c r="BX74" s="132"/>
      <c r="BY74" s="129"/>
      <c r="BZ74" s="130"/>
      <c r="CA74" s="130"/>
      <c r="CB74" s="130"/>
      <c r="CC74" s="130"/>
      <c r="CD74" s="131"/>
      <c r="CE74" s="132"/>
      <c r="CF74" s="132"/>
      <c r="CG74" s="132"/>
      <c r="CH74" s="132"/>
      <c r="CI74" s="132"/>
      <c r="CJ74" s="129"/>
      <c r="CK74" s="130"/>
      <c r="CL74" s="131"/>
      <c r="CM74" s="132"/>
      <c r="CN74" s="132"/>
      <c r="CO74" s="132"/>
      <c r="CP74" s="129"/>
      <c r="CQ74" s="130"/>
      <c r="CR74" s="130"/>
      <c r="CS74" s="130"/>
      <c r="CT74" s="131"/>
      <c r="CU74" s="129"/>
      <c r="CV74" s="130"/>
      <c r="CW74" s="130"/>
      <c r="CX74" s="130"/>
      <c r="CY74" s="130"/>
      <c r="CZ74" s="131"/>
      <c r="DA74" s="129"/>
      <c r="DB74" s="130"/>
      <c r="DC74" s="130"/>
      <c r="DD74" s="130"/>
      <c r="DE74" s="131"/>
      <c r="DF74" s="129"/>
      <c r="DG74" s="130"/>
      <c r="DH74" s="130"/>
      <c r="DI74" s="130"/>
      <c r="DJ74" s="130"/>
      <c r="DK74" s="131"/>
      <c r="DL74" s="129"/>
      <c r="DM74" s="130"/>
      <c r="DN74" s="130"/>
      <c r="DO74" s="130"/>
      <c r="DP74" s="130"/>
      <c r="DQ74" s="131"/>
      <c r="DR74" s="129"/>
      <c r="DS74" s="130"/>
      <c r="DT74" s="130"/>
      <c r="DU74" s="130"/>
      <c r="DV74" s="130"/>
      <c r="DW74" s="131"/>
      <c r="DX74" s="129"/>
      <c r="DY74" s="130"/>
      <c r="DZ74" s="130"/>
      <c r="EA74" s="130"/>
      <c r="EB74" s="130"/>
      <c r="EC74" s="131"/>
      <c r="ED74" s="129"/>
      <c r="EE74" s="130"/>
      <c r="EF74" s="130"/>
      <c r="EG74" s="130"/>
      <c r="EH74" s="130"/>
      <c r="EI74" s="130"/>
      <c r="EJ74" s="129"/>
      <c r="EK74" s="130"/>
      <c r="EL74" s="130"/>
      <c r="EM74" s="130"/>
      <c r="EN74" s="130"/>
      <c r="EO74" s="130"/>
      <c r="EP74" s="130"/>
      <c r="EQ74" s="130"/>
      <c r="ER74" s="130"/>
      <c r="ES74" s="130"/>
      <c r="ET74" s="130"/>
      <c r="EU74" s="130"/>
      <c r="EV74" s="130"/>
      <c r="EW74" s="130"/>
      <c r="EX74" s="130"/>
      <c r="EY74" s="130"/>
      <c r="EZ74" s="133"/>
      <c r="FA74" s="132"/>
      <c r="FB74" s="132"/>
      <c r="FC74" s="132"/>
      <c r="FD74" s="132"/>
      <c r="FE74" s="132"/>
      <c r="FF74" s="129"/>
      <c r="FG74" s="130"/>
      <c r="FH74" s="130"/>
      <c r="FI74" s="130"/>
      <c r="FJ74" s="129"/>
      <c r="FK74" s="130"/>
      <c r="FL74" s="131"/>
      <c r="FM74" s="129"/>
    </row>
    <row r="75" spans="1:177">
      <c r="A75" s="95" t="s">
        <v>278</v>
      </c>
      <c r="B75" s="96" t="s">
        <v>284</v>
      </c>
      <c r="C75" s="95">
        <v>2</v>
      </c>
      <c r="D75" s="95">
        <f>COUNTA(E75:KX75)</f>
        <v>36</v>
      </c>
      <c r="E75" s="129"/>
      <c r="F75" s="130"/>
      <c r="G75" s="130"/>
      <c r="H75" s="130"/>
      <c r="I75" s="130"/>
      <c r="J75" s="130"/>
      <c r="K75" s="131"/>
      <c r="L75" s="129"/>
      <c r="M75" s="130"/>
      <c r="N75" s="130"/>
      <c r="O75" s="131"/>
      <c r="P75" s="129"/>
      <c r="Q75" s="130"/>
      <c r="R75" s="130"/>
      <c r="S75" s="130"/>
      <c r="T75" s="130"/>
      <c r="U75" s="131"/>
      <c r="V75" s="129"/>
      <c r="W75" s="130"/>
      <c r="X75" s="130"/>
      <c r="Y75" s="130"/>
      <c r="Z75" s="130"/>
      <c r="AA75" s="130"/>
      <c r="AB75" s="131"/>
      <c r="AC75" s="129"/>
      <c r="AD75" s="130"/>
      <c r="AE75" s="130"/>
      <c r="AF75" s="130"/>
      <c r="AG75" s="130"/>
      <c r="AH75" s="131"/>
      <c r="AI75" s="129"/>
      <c r="AJ75" s="130"/>
      <c r="AK75" s="130"/>
      <c r="AL75" s="130"/>
      <c r="AM75" s="130"/>
      <c r="AN75" s="130"/>
      <c r="AO75" s="131"/>
      <c r="AP75" s="129"/>
      <c r="AQ75" s="130"/>
      <c r="AR75" s="130"/>
      <c r="AS75" s="131"/>
      <c r="AT75" s="129"/>
      <c r="AU75" s="130"/>
      <c r="AV75" s="130"/>
      <c r="AW75" s="130"/>
      <c r="AX75" s="130"/>
      <c r="AY75" s="131"/>
      <c r="AZ75" s="129"/>
      <c r="BA75" s="130"/>
      <c r="BB75" s="130"/>
      <c r="BC75" s="130"/>
      <c r="BD75" s="130"/>
      <c r="BE75" s="130"/>
      <c r="BF75" s="131"/>
      <c r="BG75" s="129"/>
      <c r="BH75" s="130"/>
      <c r="BI75" s="130"/>
      <c r="BJ75" s="130"/>
      <c r="BK75" s="131"/>
      <c r="BL75" s="129"/>
      <c r="BM75" s="130"/>
      <c r="BN75" s="130"/>
      <c r="BO75" s="130"/>
      <c r="BP75" s="130"/>
      <c r="BQ75" s="130"/>
      <c r="BR75" s="130"/>
      <c r="BS75" s="131"/>
      <c r="BT75" s="132" t="s">
        <v>217</v>
      </c>
      <c r="BU75" s="132" t="s">
        <v>217</v>
      </c>
      <c r="BV75" s="132" t="s">
        <v>217</v>
      </c>
      <c r="BW75" s="132" t="s">
        <v>217</v>
      </c>
      <c r="BX75" s="132" t="s">
        <v>217</v>
      </c>
      <c r="BY75" s="129" t="s">
        <v>217</v>
      </c>
      <c r="BZ75" s="130" t="s">
        <v>217</v>
      </c>
      <c r="CA75" s="130" t="s">
        <v>217</v>
      </c>
      <c r="CB75" s="130" t="s">
        <v>217</v>
      </c>
      <c r="CC75" s="130" t="s">
        <v>217</v>
      </c>
      <c r="CD75" s="131" t="s">
        <v>217</v>
      </c>
      <c r="CE75" s="132" t="s">
        <v>217</v>
      </c>
      <c r="CF75" s="132" t="s">
        <v>217</v>
      </c>
      <c r="CG75" s="132" t="s">
        <v>217</v>
      </c>
      <c r="CH75" s="132" t="s">
        <v>217</v>
      </c>
      <c r="CI75" s="132" t="s">
        <v>217</v>
      </c>
      <c r="CJ75" s="129" t="s">
        <v>217</v>
      </c>
      <c r="CK75" s="130" t="s">
        <v>217</v>
      </c>
      <c r="CL75" s="131" t="s">
        <v>217</v>
      </c>
      <c r="CM75" s="132" t="s">
        <v>217</v>
      </c>
      <c r="CN75" s="132" t="s">
        <v>217</v>
      </c>
      <c r="CO75" s="132"/>
      <c r="CP75" s="129" t="s">
        <v>217</v>
      </c>
      <c r="CQ75" s="130" t="s">
        <v>217</v>
      </c>
      <c r="CR75" s="130" t="s">
        <v>217</v>
      </c>
      <c r="CS75" s="130" t="s">
        <v>217</v>
      </c>
      <c r="CT75" s="131" t="s">
        <v>217</v>
      </c>
      <c r="CU75" s="129" t="s">
        <v>217</v>
      </c>
      <c r="CV75" s="130" t="s">
        <v>217</v>
      </c>
      <c r="CW75" s="130" t="s">
        <v>217</v>
      </c>
      <c r="CX75" s="130" t="s">
        <v>217</v>
      </c>
      <c r="CY75" s="130" t="s">
        <v>217</v>
      </c>
      <c r="CZ75" s="131" t="s">
        <v>217</v>
      </c>
      <c r="DA75" s="129" t="s">
        <v>217</v>
      </c>
      <c r="DB75" s="130" t="s">
        <v>217</v>
      </c>
      <c r="DC75" s="130" t="s">
        <v>217</v>
      </c>
      <c r="DD75" s="130" t="s">
        <v>217</v>
      </c>
      <c r="DE75" s="131"/>
      <c r="DF75" s="129"/>
      <c r="DG75" s="130"/>
      <c r="DH75" s="130"/>
      <c r="DI75" s="130"/>
      <c r="DJ75" s="130"/>
      <c r="DK75" s="131"/>
      <c r="DL75" s="129"/>
      <c r="DM75" s="130"/>
      <c r="DN75" s="130"/>
      <c r="DO75" s="130"/>
      <c r="DP75" s="130"/>
      <c r="DQ75" s="131"/>
      <c r="DR75" s="129"/>
      <c r="DS75" s="130"/>
      <c r="DT75" s="130"/>
      <c r="DU75" s="130"/>
      <c r="DV75" s="130"/>
      <c r="DW75" s="131"/>
      <c r="DX75" s="129"/>
      <c r="DY75" s="130"/>
      <c r="DZ75" s="130"/>
      <c r="EA75" s="130"/>
      <c r="EB75" s="130"/>
      <c r="EC75" s="131"/>
      <c r="ED75" s="129"/>
      <c r="EE75" s="130"/>
      <c r="EF75" s="130"/>
      <c r="EG75" s="130"/>
      <c r="EH75" s="130"/>
      <c r="EI75" s="130"/>
      <c r="EJ75" s="129"/>
      <c r="EK75" s="130"/>
      <c r="EL75" s="130"/>
      <c r="EM75" s="130"/>
      <c r="EN75" s="130"/>
      <c r="EO75" s="130"/>
      <c r="EP75" s="130"/>
      <c r="EQ75" s="130"/>
      <c r="ER75" s="130"/>
      <c r="ES75" s="130"/>
      <c r="ET75" s="130"/>
      <c r="EU75" s="130"/>
      <c r="EV75" s="130"/>
      <c r="EW75" s="130"/>
      <c r="EX75" s="130"/>
      <c r="EY75" s="130"/>
      <c r="EZ75" s="133"/>
      <c r="FA75" s="132"/>
      <c r="FB75" s="132"/>
      <c r="FC75" s="132"/>
      <c r="FD75" s="132"/>
      <c r="FE75" s="132"/>
      <c r="FF75" s="129"/>
      <c r="FG75" s="130"/>
      <c r="FH75" s="130"/>
      <c r="FI75" s="130"/>
      <c r="FJ75" s="129"/>
      <c r="FK75" s="130"/>
      <c r="FL75" s="131"/>
      <c r="FM75" s="129"/>
    </row>
    <row r="76" spans="1:177">
      <c r="A76" s="95" t="s">
        <v>278</v>
      </c>
      <c r="B76" s="96" t="s">
        <v>285</v>
      </c>
      <c r="C76" s="95">
        <v>2</v>
      </c>
      <c r="D76" s="95">
        <f>COUNTA(E76:KX76)</f>
        <v>7</v>
      </c>
      <c r="E76" s="129"/>
      <c r="F76" s="130"/>
      <c r="G76" s="130"/>
      <c r="H76" s="130"/>
      <c r="I76" s="130"/>
      <c r="J76" s="130"/>
      <c r="K76" s="131"/>
      <c r="L76" s="129"/>
      <c r="M76" s="130"/>
      <c r="N76" s="130"/>
      <c r="O76" s="131"/>
      <c r="P76" s="129"/>
      <c r="Q76" s="130"/>
      <c r="R76" s="130"/>
      <c r="S76" s="130"/>
      <c r="T76" s="130"/>
      <c r="U76" s="131"/>
      <c r="V76" s="129"/>
      <c r="W76" s="130"/>
      <c r="X76" s="130" t="s">
        <v>217</v>
      </c>
      <c r="Y76" s="130"/>
      <c r="Z76" s="130"/>
      <c r="AA76" s="130"/>
      <c r="AB76" s="131"/>
      <c r="AC76" s="129"/>
      <c r="AD76" s="130"/>
      <c r="AE76" s="130"/>
      <c r="AF76" s="130" t="s">
        <v>217</v>
      </c>
      <c r="AG76" s="130"/>
      <c r="AH76" s="131"/>
      <c r="AI76" s="129"/>
      <c r="AJ76" s="130"/>
      <c r="AK76" s="130"/>
      <c r="AL76" s="130"/>
      <c r="AM76" s="130"/>
      <c r="AN76" s="130"/>
      <c r="AO76" s="131"/>
      <c r="AP76" s="129"/>
      <c r="AQ76" s="130"/>
      <c r="AR76" s="130"/>
      <c r="AS76" s="131"/>
      <c r="AT76" s="129"/>
      <c r="AU76" s="130"/>
      <c r="AV76" s="130"/>
      <c r="AW76" s="130"/>
      <c r="AX76" s="130"/>
      <c r="AY76" s="131"/>
      <c r="AZ76" s="129"/>
      <c r="BA76" s="130"/>
      <c r="BB76" s="130"/>
      <c r="BC76" s="130" t="s">
        <v>217</v>
      </c>
      <c r="BD76" s="130"/>
      <c r="BE76" s="130"/>
      <c r="BF76" s="131"/>
      <c r="BG76" s="129"/>
      <c r="BH76" s="130"/>
      <c r="BI76" s="130" t="s">
        <v>217</v>
      </c>
      <c r="BJ76" s="130"/>
      <c r="BK76" s="131"/>
      <c r="BL76" s="129"/>
      <c r="BM76" s="130"/>
      <c r="BN76" s="130"/>
      <c r="BO76" s="130"/>
      <c r="BP76" s="130"/>
      <c r="BQ76" s="130" t="s">
        <v>217</v>
      </c>
      <c r="BR76" s="130" t="s">
        <v>217</v>
      </c>
      <c r="BS76" s="131" t="s">
        <v>217</v>
      </c>
      <c r="BT76" s="132"/>
      <c r="BU76" s="132"/>
      <c r="BV76" s="132"/>
      <c r="BW76" s="132"/>
      <c r="BX76" s="132"/>
      <c r="BY76" s="129"/>
      <c r="BZ76" s="130"/>
      <c r="CA76" s="130"/>
      <c r="CB76" s="130"/>
      <c r="CC76" s="130"/>
      <c r="CD76" s="131"/>
      <c r="CE76" s="132"/>
      <c r="CF76" s="132"/>
      <c r="CG76" s="132"/>
      <c r="CH76" s="132"/>
      <c r="CI76" s="132"/>
      <c r="CJ76" s="129"/>
      <c r="CK76" s="130"/>
      <c r="CL76" s="131"/>
      <c r="CM76" s="132"/>
      <c r="CN76" s="132"/>
      <c r="CO76" s="132"/>
      <c r="CP76" s="129"/>
      <c r="CQ76" s="130"/>
      <c r="CR76" s="130"/>
      <c r="CS76" s="130"/>
      <c r="CT76" s="131"/>
      <c r="CU76" s="129"/>
      <c r="CV76" s="130"/>
      <c r="CW76" s="130"/>
      <c r="CX76" s="130"/>
      <c r="CY76" s="130"/>
      <c r="CZ76" s="131"/>
      <c r="DA76" s="129"/>
      <c r="DB76" s="130"/>
      <c r="DC76" s="130"/>
      <c r="DD76" s="130"/>
      <c r="DE76" s="131"/>
      <c r="DF76" s="129"/>
      <c r="DG76" s="130"/>
      <c r="DH76" s="130"/>
      <c r="DI76" s="130"/>
      <c r="DJ76" s="130"/>
      <c r="DK76" s="131"/>
      <c r="DL76" s="129"/>
      <c r="DM76" s="130"/>
      <c r="DN76" s="130"/>
      <c r="DO76" s="130"/>
      <c r="DP76" s="130"/>
      <c r="DQ76" s="131"/>
      <c r="DR76" s="129"/>
      <c r="DS76" s="130"/>
      <c r="DT76" s="130"/>
      <c r="DU76" s="130"/>
      <c r="DV76" s="130"/>
      <c r="DW76" s="131"/>
      <c r="DX76" s="129"/>
      <c r="DY76" s="130"/>
      <c r="DZ76" s="130"/>
      <c r="EA76" s="130"/>
      <c r="EB76" s="130"/>
      <c r="EC76" s="131"/>
      <c r="ED76" s="129"/>
      <c r="EE76" s="130"/>
      <c r="EF76" s="130"/>
      <c r="EG76" s="130"/>
      <c r="EH76" s="130"/>
      <c r="EI76" s="130"/>
      <c r="EJ76" s="129"/>
      <c r="EK76" s="130"/>
      <c r="EL76" s="130"/>
      <c r="EM76" s="130"/>
      <c r="EN76" s="130"/>
      <c r="EO76" s="130"/>
      <c r="EP76" s="130"/>
      <c r="EQ76" s="130"/>
      <c r="ER76" s="130"/>
      <c r="ES76" s="130"/>
      <c r="ET76" s="130"/>
      <c r="EU76" s="130"/>
      <c r="EV76" s="130"/>
      <c r="EW76" s="130"/>
      <c r="EX76" s="130"/>
      <c r="EY76" s="130"/>
      <c r="EZ76" s="133"/>
      <c r="FA76" s="132"/>
      <c r="FB76" s="132"/>
      <c r="FC76" s="132"/>
      <c r="FD76" s="132"/>
      <c r="FE76" s="132"/>
      <c r="FF76" s="129"/>
      <c r="FG76" s="130"/>
      <c r="FH76" s="130"/>
      <c r="FI76" s="130"/>
      <c r="FJ76" s="129"/>
      <c r="FK76" s="130"/>
      <c r="FL76" s="131"/>
      <c r="FM76" s="129"/>
    </row>
    <row r="77" spans="1:177">
      <c r="A77" s="95" t="s">
        <v>286</v>
      </c>
      <c r="B77" s="96" t="s">
        <v>287</v>
      </c>
      <c r="C77" s="95">
        <v>1</v>
      </c>
      <c r="D77" s="95">
        <f>COUNTA(E77:KX77)</f>
        <v>3</v>
      </c>
      <c r="E77" s="129"/>
      <c r="F77" s="130"/>
      <c r="G77" s="130"/>
      <c r="H77" s="130"/>
      <c r="I77" s="130"/>
      <c r="J77" s="130"/>
      <c r="K77" s="131"/>
      <c r="L77" s="129"/>
      <c r="M77" s="130"/>
      <c r="N77" s="130"/>
      <c r="O77" s="131"/>
      <c r="P77" s="129"/>
      <c r="Q77" s="130"/>
      <c r="R77" s="130"/>
      <c r="S77" s="130"/>
      <c r="T77" s="130"/>
      <c r="U77" s="131"/>
      <c r="V77" s="129"/>
      <c r="W77" s="130"/>
      <c r="X77" s="130"/>
      <c r="Y77" s="130"/>
      <c r="Z77" s="130"/>
      <c r="AA77" s="130"/>
      <c r="AB77" s="131"/>
      <c r="AC77" s="129"/>
      <c r="AD77" s="130"/>
      <c r="AE77" s="130"/>
      <c r="AF77" s="130"/>
      <c r="AG77" s="130"/>
      <c r="AH77" s="131"/>
      <c r="AI77" s="129"/>
      <c r="AJ77" s="130"/>
      <c r="AK77" s="130"/>
      <c r="AL77" s="130"/>
      <c r="AM77" s="130"/>
      <c r="AN77" s="130"/>
      <c r="AO77" s="131"/>
      <c r="AP77" s="129"/>
      <c r="AQ77" s="130"/>
      <c r="AR77" s="130"/>
      <c r="AS77" s="131"/>
      <c r="AT77" s="129"/>
      <c r="AU77" s="130"/>
      <c r="AV77" s="130"/>
      <c r="AW77" s="130"/>
      <c r="AX77" s="130"/>
      <c r="AY77" s="131"/>
      <c r="AZ77" s="129"/>
      <c r="BA77" s="130"/>
      <c r="BB77" s="130"/>
      <c r="BC77" s="130"/>
      <c r="BD77" s="130"/>
      <c r="BE77" s="130"/>
      <c r="BF77" s="131"/>
      <c r="BG77" s="129"/>
      <c r="BH77" s="130"/>
      <c r="BI77" s="130"/>
      <c r="BJ77" s="130"/>
      <c r="BK77" s="131"/>
      <c r="BL77" s="129"/>
      <c r="BM77" s="130"/>
      <c r="BN77" s="130"/>
      <c r="BO77" s="130"/>
      <c r="BP77" s="130"/>
      <c r="BQ77" s="130"/>
      <c r="BR77" s="130"/>
      <c r="BS77" s="131"/>
      <c r="BT77" s="132"/>
      <c r="BU77" s="132"/>
      <c r="BV77" s="132"/>
      <c r="BW77" s="132"/>
      <c r="BX77" s="132"/>
      <c r="BY77" s="129"/>
      <c r="BZ77" s="130"/>
      <c r="CA77" s="130"/>
      <c r="CB77" s="130"/>
      <c r="CC77" s="130"/>
      <c r="CD77" s="131"/>
      <c r="CE77" s="132"/>
      <c r="CF77" s="132"/>
      <c r="CG77" s="132"/>
      <c r="CH77" s="132"/>
      <c r="CI77" s="132"/>
      <c r="CJ77" s="129"/>
      <c r="CK77" s="130"/>
      <c r="CL77" s="131"/>
      <c r="CM77" s="132"/>
      <c r="CN77" s="132"/>
      <c r="CO77" s="132"/>
      <c r="CP77" s="129"/>
      <c r="CQ77" s="130"/>
      <c r="CR77" s="130"/>
      <c r="CS77" s="130"/>
      <c r="CT77" s="131"/>
      <c r="CU77" s="129"/>
      <c r="CV77" s="130"/>
      <c r="CW77" s="130"/>
      <c r="CX77" s="130"/>
      <c r="CY77" s="130"/>
      <c r="CZ77" s="131"/>
      <c r="DA77" s="129"/>
      <c r="DB77" s="130"/>
      <c r="DC77" s="130"/>
      <c r="DD77" s="130"/>
      <c r="DE77" s="131"/>
      <c r="DF77" s="129"/>
      <c r="DG77" s="130"/>
      <c r="DH77" s="130"/>
      <c r="DI77" s="130"/>
      <c r="DJ77" s="130"/>
      <c r="DK77" s="131"/>
      <c r="DL77" s="129"/>
      <c r="DM77" s="130"/>
      <c r="DN77" s="130"/>
      <c r="DO77" s="130"/>
      <c r="DP77" s="130"/>
      <c r="DQ77" s="131"/>
      <c r="DR77" s="129"/>
      <c r="DS77" s="130"/>
      <c r="DT77" s="130"/>
      <c r="DU77" s="130"/>
      <c r="DV77" s="130"/>
      <c r="DW77" s="131"/>
      <c r="DX77" s="129"/>
      <c r="DY77" s="130"/>
      <c r="DZ77" s="130"/>
      <c r="EA77" s="130"/>
      <c r="EB77" s="130"/>
      <c r="EC77" s="131"/>
      <c r="ED77" s="129"/>
      <c r="EE77" s="130"/>
      <c r="EF77" s="130"/>
      <c r="EG77" s="130"/>
      <c r="EH77" s="130"/>
      <c r="EI77" s="130"/>
      <c r="EJ77" s="129"/>
      <c r="EK77" s="130"/>
      <c r="EL77" s="130"/>
      <c r="EM77" s="130"/>
      <c r="EN77" s="130"/>
      <c r="EO77" s="130"/>
      <c r="EP77" s="130"/>
      <c r="EQ77" s="130"/>
      <c r="ER77" s="130"/>
      <c r="ES77" s="130"/>
      <c r="ET77" s="130"/>
      <c r="EU77" s="130"/>
      <c r="EV77" s="130"/>
      <c r="EW77" s="130"/>
      <c r="EX77" s="130"/>
      <c r="EY77" s="130"/>
      <c r="EZ77" s="133"/>
      <c r="FA77" s="132"/>
      <c r="FB77" s="132"/>
      <c r="FC77" s="132"/>
      <c r="FD77" s="132"/>
      <c r="FE77" s="132"/>
      <c r="FF77" s="129"/>
      <c r="FG77" s="130"/>
      <c r="FH77" s="130"/>
      <c r="FI77" s="130"/>
      <c r="FJ77" s="129"/>
      <c r="FK77" s="130" t="s">
        <v>217</v>
      </c>
      <c r="FL77" s="131"/>
      <c r="FM77" s="129"/>
      <c r="FN77" s="97" t="s">
        <v>217</v>
      </c>
      <c r="FR77" s="129"/>
      <c r="FT77" s="97" t="s">
        <v>149</v>
      </c>
    </row>
    <row r="78" spans="1:177">
      <c r="A78" s="95" t="s">
        <v>286</v>
      </c>
      <c r="B78" s="96" t="s">
        <v>288</v>
      </c>
      <c r="D78" s="95">
        <f>COUNTA(E78:KX78)</f>
        <v>1</v>
      </c>
      <c r="E78" s="129"/>
      <c r="F78" s="130"/>
      <c r="G78" s="130"/>
      <c r="H78" s="130"/>
      <c r="I78" s="130"/>
      <c r="J78" s="130"/>
      <c r="K78" s="131"/>
      <c r="L78" s="129"/>
      <c r="M78" s="130"/>
      <c r="N78" s="130"/>
      <c r="O78" s="131"/>
      <c r="P78" s="129"/>
      <c r="Q78" s="130"/>
      <c r="R78" s="130"/>
      <c r="S78" s="130"/>
      <c r="T78" s="130"/>
      <c r="U78" s="131"/>
      <c r="V78" s="129"/>
      <c r="W78" s="130"/>
      <c r="X78" s="130"/>
      <c r="Y78" s="130"/>
      <c r="Z78" s="130"/>
      <c r="AA78" s="130"/>
      <c r="AB78" s="131"/>
      <c r="AC78" s="129"/>
      <c r="AD78" s="130"/>
      <c r="AE78" s="130"/>
      <c r="AF78" s="130"/>
      <c r="AG78" s="130"/>
      <c r="AH78" s="131"/>
      <c r="AI78" s="129"/>
      <c r="AJ78" s="130"/>
      <c r="AK78" s="130"/>
      <c r="AL78" s="130"/>
      <c r="AM78" s="130"/>
      <c r="AN78" s="130"/>
      <c r="AO78" s="131"/>
      <c r="AP78" s="129"/>
      <c r="AQ78" s="130"/>
      <c r="AR78" s="130"/>
      <c r="AS78" s="131"/>
      <c r="AT78" s="129"/>
      <c r="AU78" s="130"/>
      <c r="AV78" s="130"/>
      <c r="AW78" s="130"/>
      <c r="AX78" s="130"/>
      <c r="AY78" s="131"/>
      <c r="AZ78" s="129"/>
      <c r="BA78" s="130"/>
      <c r="BB78" s="130"/>
      <c r="BC78" s="130"/>
      <c r="BD78" s="130"/>
      <c r="BE78" s="130"/>
      <c r="BF78" s="131"/>
      <c r="BG78" s="129"/>
      <c r="BH78" s="130"/>
      <c r="BI78" s="130"/>
      <c r="BJ78" s="130"/>
      <c r="BK78" s="131"/>
      <c r="BL78" s="129"/>
      <c r="BM78" s="130"/>
      <c r="BN78" s="130"/>
      <c r="BO78" s="130"/>
      <c r="BP78" s="130"/>
      <c r="BQ78" s="130"/>
      <c r="BR78" s="130"/>
      <c r="BS78" s="131"/>
      <c r="BT78" s="132"/>
      <c r="BU78" s="132"/>
      <c r="BV78" s="132"/>
      <c r="BW78" s="132"/>
      <c r="BX78" s="132"/>
      <c r="BY78" s="129"/>
      <c r="BZ78" s="130"/>
      <c r="CA78" s="130"/>
      <c r="CB78" s="130"/>
      <c r="CC78" s="130"/>
      <c r="CD78" s="131"/>
      <c r="CE78" s="132"/>
      <c r="CF78" s="132"/>
      <c r="CG78" s="132"/>
      <c r="CH78" s="132"/>
      <c r="CI78" s="132"/>
      <c r="CJ78" s="129"/>
      <c r="CK78" s="130"/>
      <c r="CL78" s="131"/>
      <c r="CM78" s="132"/>
      <c r="CN78" s="132"/>
      <c r="CO78" s="132"/>
      <c r="CP78" s="129"/>
      <c r="CQ78" s="130"/>
      <c r="CR78" s="130"/>
      <c r="CS78" s="130"/>
      <c r="CT78" s="131"/>
      <c r="CU78" s="129"/>
      <c r="CV78" s="130"/>
      <c r="CW78" s="130"/>
      <c r="CX78" s="130"/>
      <c r="CY78" s="130"/>
      <c r="CZ78" s="131"/>
      <c r="DA78" s="129"/>
      <c r="DB78" s="130"/>
      <c r="DC78" s="130"/>
      <c r="DD78" s="130"/>
      <c r="DE78" s="131"/>
      <c r="DF78" s="129"/>
      <c r="DG78" s="130"/>
      <c r="DH78" s="130"/>
      <c r="DI78" s="130"/>
      <c r="DJ78" s="130"/>
      <c r="DK78" s="131"/>
      <c r="DL78" s="129"/>
      <c r="DM78" s="130"/>
      <c r="DN78" s="130"/>
      <c r="DO78" s="130"/>
      <c r="DP78" s="130"/>
      <c r="DQ78" s="131"/>
      <c r="DR78" s="129"/>
      <c r="DS78" s="130"/>
      <c r="DT78" s="130"/>
      <c r="DU78" s="130"/>
      <c r="DV78" s="130"/>
      <c r="DW78" s="131"/>
      <c r="DX78" s="129"/>
      <c r="DY78" s="130"/>
      <c r="DZ78" s="130"/>
      <c r="EA78" s="130"/>
      <c r="EB78" s="130"/>
      <c r="EC78" s="131"/>
      <c r="ED78" s="129"/>
      <c r="EE78" s="130"/>
      <c r="EF78" s="130"/>
      <c r="EG78" s="130"/>
      <c r="EH78" s="130"/>
      <c r="EI78" s="130"/>
      <c r="EJ78" s="129"/>
      <c r="EK78" s="130"/>
      <c r="EL78" s="130"/>
      <c r="EM78" s="130"/>
      <c r="EN78" s="130"/>
      <c r="EO78" s="130"/>
      <c r="EP78" s="130"/>
      <c r="EQ78" s="130"/>
      <c r="ER78" s="130"/>
      <c r="ES78" s="130"/>
      <c r="ET78" s="130"/>
      <c r="EU78" s="130"/>
      <c r="EV78" s="130"/>
      <c r="EW78" s="130"/>
      <c r="EX78" s="130"/>
      <c r="EY78" s="130"/>
      <c r="EZ78" s="133"/>
      <c r="FA78" s="132"/>
      <c r="FB78" s="132"/>
      <c r="FC78" s="132"/>
      <c r="FD78" s="132"/>
      <c r="FE78" s="132"/>
      <c r="FF78" s="129"/>
      <c r="FG78" s="130"/>
      <c r="FH78" s="130"/>
      <c r="FI78" s="130"/>
      <c r="FJ78" s="129"/>
      <c r="FK78" s="130"/>
      <c r="FL78" s="131"/>
      <c r="FM78" s="129"/>
      <c r="FU78" s="97" t="s">
        <v>149</v>
      </c>
    </row>
    <row r="79" spans="1:177" ht="30">
      <c r="A79" s="95" t="s">
        <v>286</v>
      </c>
      <c r="B79" s="96" t="s">
        <v>289</v>
      </c>
      <c r="D79" s="95">
        <f>COUNTA(E79:KX79)</f>
        <v>1</v>
      </c>
      <c r="E79" s="129"/>
      <c r="F79" s="130"/>
      <c r="G79" s="130"/>
      <c r="H79" s="130"/>
      <c r="I79" s="130"/>
      <c r="J79" s="130"/>
      <c r="K79" s="131"/>
      <c r="L79" s="129"/>
      <c r="M79" s="130"/>
      <c r="N79" s="130"/>
      <c r="O79" s="131"/>
      <c r="P79" s="129"/>
      <c r="Q79" s="130"/>
      <c r="R79" s="130"/>
      <c r="S79" s="130"/>
      <c r="T79" s="130"/>
      <c r="U79" s="131"/>
      <c r="V79" s="129"/>
      <c r="W79" s="130"/>
      <c r="X79" s="130"/>
      <c r="Y79" s="130"/>
      <c r="Z79" s="130"/>
      <c r="AA79" s="130"/>
      <c r="AB79" s="131"/>
      <c r="AC79" s="129"/>
      <c r="AD79" s="130"/>
      <c r="AE79" s="130"/>
      <c r="AF79" s="130"/>
      <c r="AG79" s="130"/>
      <c r="AH79" s="131"/>
      <c r="AI79" s="129"/>
      <c r="AJ79" s="130"/>
      <c r="AK79" s="130"/>
      <c r="AL79" s="130"/>
      <c r="AM79" s="130"/>
      <c r="AN79" s="130"/>
      <c r="AO79" s="131"/>
      <c r="AP79" s="129"/>
      <c r="AQ79" s="130"/>
      <c r="AR79" s="130"/>
      <c r="AS79" s="131"/>
      <c r="AT79" s="129"/>
      <c r="AU79" s="130"/>
      <c r="AV79" s="130"/>
      <c r="AW79" s="130"/>
      <c r="AX79" s="130"/>
      <c r="AY79" s="131"/>
      <c r="AZ79" s="129"/>
      <c r="BA79" s="130"/>
      <c r="BB79" s="130"/>
      <c r="BC79" s="130"/>
      <c r="BD79" s="130"/>
      <c r="BE79" s="130"/>
      <c r="BF79" s="131"/>
      <c r="BG79" s="129"/>
      <c r="BH79" s="130"/>
      <c r="BI79" s="130"/>
      <c r="BJ79" s="130"/>
      <c r="BK79" s="131"/>
      <c r="BL79" s="129"/>
      <c r="BM79" s="130"/>
      <c r="BN79" s="130"/>
      <c r="BO79" s="130"/>
      <c r="BP79" s="130"/>
      <c r="BQ79" s="130"/>
      <c r="BR79" s="130"/>
      <c r="BS79" s="131"/>
      <c r="BT79" s="132"/>
      <c r="BU79" s="132"/>
      <c r="BV79" s="132"/>
      <c r="BW79" s="132"/>
      <c r="BX79" s="132"/>
      <c r="BY79" s="129"/>
      <c r="BZ79" s="130"/>
      <c r="CA79" s="130"/>
      <c r="CB79" s="130"/>
      <c r="CC79" s="130"/>
      <c r="CD79" s="131"/>
      <c r="CE79" s="132"/>
      <c r="CF79" s="132"/>
      <c r="CG79" s="132"/>
      <c r="CH79" s="132"/>
      <c r="CI79" s="132"/>
      <c r="CJ79" s="129"/>
      <c r="CK79" s="130"/>
      <c r="CL79" s="131"/>
      <c r="CM79" s="132"/>
      <c r="CN79" s="132"/>
      <c r="CO79" s="132"/>
      <c r="CP79" s="129"/>
      <c r="CQ79" s="130"/>
      <c r="CR79" s="130"/>
      <c r="CS79" s="130"/>
      <c r="CT79" s="131"/>
      <c r="CU79" s="129"/>
      <c r="CV79" s="130"/>
      <c r="CW79" s="130"/>
      <c r="CX79" s="130"/>
      <c r="CY79" s="130"/>
      <c r="CZ79" s="131"/>
      <c r="DA79" s="129"/>
      <c r="DB79" s="130"/>
      <c r="DC79" s="130"/>
      <c r="DD79" s="130"/>
      <c r="DE79" s="131"/>
      <c r="DF79" s="129"/>
      <c r="DG79" s="130"/>
      <c r="DH79" s="130"/>
      <c r="DI79" s="130"/>
      <c r="DJ79" s="130"/>
      <c r="DK79" s="131"/>
      <c r="DL79" s="129"/>
      <c r="DM79" s="130"/>
      <c r="DN79" s="130"/>
      <c r="DO79" s="130"/>
      <c r="DP79" s="130"/>
      <c r="DQ79" s="131"/>
      <c r="DR79" s="129"/>
      <c r="DS79" s="130"/>
      <c r="DT79" s="130"/>
      <c r="DU79" s="130"/>
      <c r="DV79" s="130"/>
      <c r="DW79" s="131"/>
      <c r="DX79" s="129"/>
      <c r="DY79" s="130"/>
      <c r="DZ79" s="130"/>
      <c r="EA79" s="130"/>
      <c r="EB79" s="130"/>
      <c r="EC79" s="131"/>
      <c r="ED79" s="129"/>
      <c r="EE79" s="130"/>
      <c r="EF79" s="130"/>
      <c r="EG79" s="130"/>
      <c r="EH79" s="130"/>
      <c r="EI79" s="130"/>
      <c r="EJ79" s="129"/>
      <c r="EK79" s="130"/>
      <c r="EL79" s="130"/>
      <c r="EM79" s="130"/>
      <c r="EN79" s="130"/>
      <c r="EO79" s="130"/>
      <c r="EP79" s="130"/>
      <c r="EQ79" s="130"/>
      <c r="ER79" s="130"/>
      <c r="ES79" s="130"/>
      <c r="ET79" s="130"/>
      <c r="EU79" s="130"/>
      <c r="EV79" s="130"/>
      <c r="EW79" s="130"/>
      <c r="EX79" s="130"/>
      <c r="EY79" s="130"/>
      <c r="EZ79" s="133"/>
      <c r="FA79" s="132"/>
      <c r="FB79" s="132"/>
      <c r="FC79" s="132"/>
      <c r="FD79" s="132"/>
      <c r="FE79" s="132"/>
      <c r="FF79" s="129"/>
      <c r="FG79" s="130"/>
      <c r="FH79" s="130"/>
      <c r="FI79" s="130"/>
      <c r="FJ79" s="129"/>
      <c r="FK79" s="130"/>
      <c r="FL79" s="131"/>
      <c r="FM79" s="129"/>
      <c r="FU79" s="97" t="s">
        <v>149</v>
      </c>
    </row>
    <row r="80" spans="1:177">
      <c r="A80" s="95" t="s">
        <v>286</v>
      </c>
      <c r="B80" s="96" t="s">
        <v>290</v>
      </c>
      <c r="D80" s="95">
        <f>COUNTA(E80:KX80)</f>
        <v>1</v>
      </c>
      <c r="E80" s="129"/>
      <c r="F80" s="130"/>
      <c r="G80" s="130"/>
      <c r="H80" s="130"/>
      <c r="I80" s="130"/>
      <c r="J80" s="130"/>
      <c r="K80" s="131"/>
      <c r="L80" s="129"/>
      <c r="M80" s="130"/>
      <c r="N80" s="130"/>
      <c r="O80" s="131"/>
      <c r="P80" s="129"/>
      <c r="Q80" s="130"/>
      <c r="R80" s="130"/>
      <c r="S80" s="130"/>
      <c r="T80" s="130"/>
      <c r="U80" s="131"/>
      <c r="V80" s="129"/>
      <c r="W80" s="130"/>
      <c r="X80" s="130"/>
      <c r="Y80" s="130"/>
      <c r="Z80" s="130"/>
      <c r="AA80" s="130"/>
      <c r="AB80" s="131"/>
      <c r="AC80" s="129"/>
      <c r="AD80" s="130"/>
      <c r="AE80" s="130"/>
      <c r="AF80" s="130"/>
      <c r="AG80" s="130"/>
      <c r="AH80" s="131"/>
      <c r="AI80" s="129"/>
      <c r="AJ80" s="130"/>
      <c r="AK80" s="130"/>
      <c r="AL80" s="130"/>
      <c r="AM80" s="130"/>
      <c r="AN80" s="130"/>
      <c r="AO80" s="131"/>
      <c r="AP80" s="129"/>
      <c r="AQ80" s="130"/>
      <c r="AR80" s="130"/>
      <c r="AS80" s="131"/>
      <c r="AT80" s="129"/>
      <c r="AU80" s="130"/>
      <c r="AV80" s="130"/>
      <c r="AW80" s="130"/>
      <c r="AX80" s="130"/>
      <c r="AY80" s="131"/>
      <c r="AZ80" s="129"/>
      <c r="BA80" s="130"/>
      <c r="BB80" s="130"/>
      <c r="BC80" s="130"/>
      <c r="BD80" s="130"/>
      <c r="BE80" s="130"/>
      <c r="BF80" s="131"/>
      <c r="BG80" s="129"/>
      <c r="BH80" s="130"/>
      <c r="BI80" s="130"/>
      <c r="BJ80" s="130"/>
      <c r="BK80" s="131"/>
      <c r="BL80" s="129"/>
      <c r="BM80" s="130"/>
      <c r="BN80" s="130"/>
      <c r="BO80" s="130"/>
      <c r="BP80" s="130"/>
      <c r="BQ80" s="130"/>
      <c r="BR80" s="130"/>
      <c r="BS80" s="131"/>
      <c r="BT80" s="132"/>
      <c r="BU80" s="132"/>
      <c r="BV80" s="132"/>
      <c r="BW80" s="132"/>
      <c r="BX80" s="132"/>
      <c r="BY80" s="129"/>
      <c r="BZ80" s="130"/>
      <c r="CA80" s="130"/>
      <c r="CB80" s="130"/>
      <c r="CC80" s="130"/>
      <c r="CD80" s="131"/>
      <c r="CE80" s="132"/>
      <c r="CF80" s="132"/>
      <c r="CG80" s="132"/>
      <c r="CH80" s="132"/>
      <c r="CI80" s="132"/>
      <c r="CJ80" s="129"/>
      <c r="CK80" s="130"/>
      <c r="CL80" s="131"/>
      <c r="CM80" s="132"/>
      <c r="CN80" s="132"/>
      <c r="CO80" s="132"/>
      <c r="CP80" s="129"/>
      <c r="CQ80" s="130"/>
      <c r="CR80" s="130"/>
      <c r="CS80" s="130"/>
      <c r="CT80" s="131"/>
      <c r="CU80" s="129"/>
      <c r="CV80" s="130"/>
      <c r="CW80" s="130"/>
      <c r="CX80" s="130"/>
      <c r="CY80" s="130"/>
      <c r="CZ80" s="131"/>
      <c r="DA80" s="129"/>
      <c r="DB80" s="130"/>
      <c r="DC80" s="130"/>
      <c r="DD80" s="130"/>
      <c r="DE80" s="131"/>
      <c r="DF80" s="129"/>
      <c r="DG80" s="130"/>
      <c r="DH80" s="130"/>
      <c r="DI80" s="130"/>
      <c r="DJ80" s="130"/>
      <c r="DK80" s="131"/>
      <c r="DL80" s="129"/>
      <c r="DM80" s="130"/>
      <c r="DN80" s="130"/>
      <c r="DO80" s="130"/>
      <c r="DP80" s="130"/>
      <c r="DQ80" s="131"/>
      <c r="DR80" s="129"/>
      <c r="DS80" s="130"/>
      <c r="DT80" s="130"/>
      <c r="DU80" s="130"/>
      <c r="DV80" s="130"/>
      <c r="DW80" s="131"/>
      <c r="DX80" s="129"/>
      <c r="DY80" s="130"/>
      <c r="DZ80" s="130"/>
      <c r="EA80" s="130"/>
      <c r="EB80" s="130"/>
      <c r="EC80" s="131"/>
      <c r="ED80" s="129"/>
      <c r="EE80" s="130"/>
      <c r="EF80" s="130"/>
      <c r="EG80" s="130"/>
      <c r="EH80" s="130"/>
      <c r="EI80" s="130"/>
      <c r="EJ80" s="129"/>
      <c r="EK80" s="130"/>
      <c r="EL80" s="130"/>
      <c r="EM80" s="130"/>
      <c r="EN80" s="130"/>
      <c r="EO80" s="130"/>
      <c r="EP80" s="130"/>
      <c r="EQ80" s="130"/>
      <c r="ER80" s="130"/>
      <c r="ES80" s="130"/>
      <c r="ET80" s="130"/>
      <c r="EU80" s="130"/>
      <c r="EV80" s="130"/>
      <c r="EW80" s="130"/>
      <c r="EX80" s="130"/>
      <c r="EY80" s="130"/>
      <c r="EZ80" s="133"/>
      <c r="FA80" s="132"/>
      <c r="FB80" s="132"/>
      <c r="FC80" s="132"/>
      <c r="FD80" s="132"/>
      <c r="FE80" s="132"/>
      <c r="FF80" s="129"/>
      <c r="FG80" s="130"/>
      <c r="FH80" s="130"/>
      <c r="FI80" s="130"/>
      <c r="FJ80" s="129"/>
      <c r="FK80" s="130"/>
      <c r="FL80" s="131"/>
      <c r="FM80" s="129"/>
      <c r="FU80" s="97" t="s">
        <v>149</v>
      </c>
    </row>
    <row r="81" spans="1:218">
      <c r="A81" s="95" t="s">
        <v>286</v>
      </c>
      <c r="B81" s="96" t="s">
        <v>291</v>
      </c>
      <c r="D81" s="95">
        <f>COUNTA(E81:KX81)</f>
        <v>1</v>
      </c>
      <c r="E81" s="129"/>
      <c r="F81" s="130"/>
      <c r="G81" s="130"/>
      <c r="H81" s="130"/>
      <c r="I81" s="130"/>
      <c r="J81" s="130"/>
      <c r="K81" s="131"/>
      <c r="L81" s="129"/>
      <c r="M81" s="130"/>
      <c r="N81" s="130"/>
      <c r="O81" s="131"/>
      <c r="P81" s="129"/>
      <c r="Q81" s="130"/>
      <c r="R81" s="130"/>
      <c r="S81" s="130"/>
      <c r="T81" s="130"/>
      <c r="U81" s="131"/>
      <c r="V81" s="129"/>
      <c r="W81" s="130"/>
      <c r="X81" s="130"/>
      <c r="Y81" s="130"/>
      <c r="Z81" s="130"/>
      <c r="AA81" s="130"/>
      <c r="AB81" s="131"/>
      <c r="AC81" s="129"/>
      <c r="AD81" s="130"/>
      <c r="AE81" s="130"/>
      <c r="AF81" s="130"/>
      <c r="AG81" s="130"/>
      <c r="AH81" s="131"/>
      <c r="AI81" s="129"/>
      <c r="AJ81" s="130"/>
      <c r="AK81" s="130"/>
      <c r="AL81" s="130"/>
      <c r="AM81" s="130"/>
      <c r="AN81" s="130"/>
      <c r="AO81" s="131"/>
      <c r="AP81" s="129"/>
      <c r="AQ81" s="130"/>
      <c r="AR81" s="130"/>
      <c r="AS81" s="131"/>
      <c r="AT81" s="129"/>
      <c r="AU81" s="130"/>
      <c r="AV81" s="130"/>
      <c r="AW81" s="130"/>
      <c r="AX81" s="130"/>
      <c r="AY81" s="131"/>
      <c r="AZ81" s="129"/>
      <c r="BA81" s="130"/>
      <c r="BB81" s="130"/>
      <c r="BC81" s="130"/>
      <c r="BD81" s="130"/>
      <c r="BE81" s="130"/>
      <c r="BF81" s="131"/>
      <c r="BG81" s="129"/>
      <c r="BH81" s="130"/>
      <c r="BI81" s="130"/>
      <c r="BJ81" s="130"/>
      <c r="BK81" s="131"/>
      <c r="BL81" s="129"/>
      <c r="BM81" s="130"/>
      <c r="BN81" s="130"/>
      <c r="BO81" s="130"/>
      <c r="BP81" s="130"/>
      <c r="BQ81" s="130"/>
      <c r="BR81" s="130"/>
      <c r="BS81" s="131"/>
      <c r="BT81" s="132"/>
      <c r="BU81" s="132"/>
      <c r="BV81" s="132"/>
      <c r="BW81" s="132"/>
      <c r="BX81" s="132"/>
      <c r="BY81" s="129"/>
      <c r="BZ81" s="130"/>
      <c r="CA81" s="130"/>
      <c r="CB81" s="130"/>
      <c r="CC81" s="130"/>
      <c r="CD81" s="131"/>
      <c r="CE81" s="132"/>
      <c r="CF81" s="132"/>
      <c r="CG81" s="132"/>
      <c r="CH81" s="132"/>
      <c r="CI81" s="132"/>
      <c r="CJ81" s="129"/>
      <c r="CK81" s="130"/>
      <c r="CL81" s="131"/>
      <c r="CM81" s="132"/>
      <c r="CN81" s="132"/>
      <c r="CO81" s="132"/>
      <c r="CP81" s="129"/>
      <c r="CQ81" s="130"/>
      <c r="CR81" s="130"/>
      <c r="CS81" s="130"/>
      <c r="CT81" s="131"/>
      <c r="CU81" s="129"/>
      <c r="CV81" s="130"/>
      <c r="CW81" s="130"/>
      <c r="CX81" s="130"/>
      <c r="CY81" s="130"/>
      <c r="CZ81" s="131"/>
      <c r="DA81" s="129"/>
      <c r="DB81" s="130"/>
      <c r="DC81" s="130"/>
      <c r="DD81" s="130"/>
      <c r="DE81" s="131"/>
      <c r="DF81" s="129"/>
      <c r="DG81" s="130"/>
      <c r="DH81" s="130"/>
      <c r="DI81" s="130"/>
      <c r="DJ81" s="130"/>
      <c r="DK81" s="131"/>
      <c r="DL81" s="129"/>
      <c r="DM81" s="130"/>
      <c r="DN81" s="130"/>
      <c r="DO81" s="130"/>
      <c r="DP81" s="130"/>
      <c r="DQ81" s="131"/>
      <c r="DR81" s="129"/>
      <c r="DS81" s="130"/>
      <c r="DT81" s="130"/>
      <c r="DU81" s="130"/>
      <c r="DV81" s="130"/>
      <c r="DW81" s="131"/>
      <c r="DX81" s="129"/>
      <c r="DY81" s="130"/>
      <c r="DZ81" s="130"/>
      <c r="EA81" s="130"/>
      <c r="EB81" s="130"/>
      <c r="EC81" s="131"/>
      <c r="ED81" s="129"/>
      <c r="EE81" s="130"/>
      <c r="EF81" s="130"/>
      <c r="EG81" s="130"/>
      <c r="EH81" s="130"/>
      <c r="EI81" s="130"/>
      <c r="EJ81" s="129"/>
      <c r="EK81" s="130"/>
      <c r="EL81" s="130"/>
      <c r="EM81" s="130"/>
      <c r="EN81" s="130"/>
      <c r="EO81" s="130"/>
      <c r="EP81" s="130"/>
      <c r="EQ81" s="130"/>
      <c r="ER81" s="130"/>
      <c r="ES81" s="130"/>
      <c r="ET81" s="130"/>
      <c r="EU81" s="130"/>
      <c r="EV81" s="130"/>
      <c r="EW81" s="130"/>
      <c r="EX81" s="130"/>
      <c r="EY81" s="130"/>
      <c r="EZ81" s="133"/>
      <c r="FA81" s="132"/>
      <c r="FB81" s="132"/>
      <c r="FC81" s="132"/>
      <c r="FD81" s="132"/>
      <c r="FE81" s="132"/>
      <c r="FF81" s="129"/>
      <c r="FG81" s="130"/>
      <c r="FH81" s="130"/>
      <c r="FI81" s="130"/>
      <c r="FJ81" s="129"/>
      <c r="FK81" s="130"/>
      <c r="FL81" s="131"/>
      <c r="FM81" s="129"/>
      <c r="FU81" s="97" t="s">
        <v>149</v>
      </c>
    </row>
    <row r="82" spans="1:218" ht="30">
      <c r="A82" s="95" t="s">
        <v>292</v>
      </c>
      <c r="B82" s="96" t="s">
        <v>293</v>
      </c>
      <c r="C82" s="95">
        <v>1</v>
      </c>
      <c r="D82" s="95">
        <f>COUNTA(E82:KX82)</f>
        <v>1</v>
      </c>
      <c r="E82" s="129"/>
      <c r="F82" s="130"/>
      <c r="G82" s="130"/>
      <c r="H82" s="130"/>
      <c r="I82" s="130"/>
      <c r="J82" s="130"/>
      <c r="K82" s="131"/>
      <c r="L82" s="129"/>
      <c r="M82" s="130"/>
      <c r="N82" s="130"/>
      <c r="O82" s="131"/>
      <c r="P82" s="129"/>
      <c r="Q82" s="130"/>
      <c r="R82" s="130"/>
      <c r="S82" s="130"/>
      <c r="T82" s="130"/>
      <c r="U82" s="131"/>
      <c r="V82" s="129"/>
      <c r="W82" s="130"/>
      <c r="X82" s="130"/>
      <c r="Y82" s="130"/>
      <c r="Z82" s="130"/>
      <c r="AA82" s="130"/>
      <c r="AB82" s="131"/>
      <c r="AC82" s="129"/>
      <c r="AD82" s="130"/>
      <c r="AE82" s="130"/>
      <c r="AF82" s="130"/>
      <c r="AG82" s="130"/>
      <c r="AH82" s="131"/>
      <c r="AI82" s="129"/>
      <c r="AJ82" s="130"/>
      <c r="AK82" s="130"/>
      <c r="AL82" s="130"/>
      <c r="AM82" s="130"/>
      <c r="AN82" s="130"/>
      <c r="AO82" s="131"/>
      <c r="AP82" s="129"/>
      <c r="AQ82" s="130"/>
      <c r="AR82" s="130"/>
      <c r="AS82" s="131"/>
      <c r="AT82" s="129"/>
      <c r="AU82" s="130"/>
      <c r="AV82" s="130"/>
      <c r="AW82" s="130"/>
      <c r="AX82" s="130"/>
      <c r="AY82" s="131"/>
      <c r="AZ82" s="129"/>
      <c r="BA82" s="130"/>
      <c r="BB82" s="130"/>
      <c r="BC82" s="130"/>
      <c r="BD82" s="130"/>
      <c r="BE82" s="130"/>
      <c r="BF82" s="131"/>
      <c r="BG82" s="129"/>
      <c r="BH82" s="130"/>
      <c r="BI82" s="130"/>
      <c r="BJ82" s="130"/>
      <c r="BK82" s="131"/>
      <c r="BL82" s="129"/>
      <c r="BM82" s="130"/>
      <c r="BN82" s="130"/>
      <c r="BO82" s="130"/>
      <c r="BP82" s="130"/>
      <c r="BQ82" s="130"/>
      <c r="BR82" s="130"/>
      <c r="BS82" s="131"/>
      <c r="BT82" s="132"/>
      <c r="BU82" s="132"/>
      <c r="BV82" s="132"/>
      <c r="BW82" s="132"/>
      <c r="BX82" s="132"/>
      <c r="BY82" s="129"/>
      <c r="BZ82" s="130"/>
      <c r="CA82" s="130"/>
      <c r="CB82" s="130"/>
      <c r="CC82" s="130"/>
      <c r="CD82" s="131"/>
      <c r="CE82" s="132"/>
      <c r="CF82" s="132"/>
      <c r="CG82" s="132"/>
      <c r="CH82" s="132"/>
      <c r="CI82" s="132"/>
      <c r="CJ82" s="129"/>
      <c r="CK82" s="130"/>
      <c r="CL82" s="131"/>
      <c r="CM82" s="132"/>
      <c r="CN82" s="132"/>
      <c r="CO82" s="132"/>
      <c r="CP82" s="129"/>
      <c r="CQ82" s="130"/>
      <c r="CR82" s="130"/>
      <c r="CS82" s="130"/>
      <c r="CT82" s="131"/>
      <c r="CU82" s="129"/>
      <c r="CV82" s="130"/>
      <c r="CW82" s="130"/>
      <c r="CX82" s="130"/>
      <c r="CY82" s="130"/>
      <c r="CZ82" s="131"/>
      <c r="DA82" s="129"/>
      <c r="DB82" s="130"/>
      <c r="DC82" s="130"/>
      <c r="DD82" s="130"/>
      <c r="DE82" s="131"/>
      <c r="DF82" s="129"/>
      <c r="DG82" s="130"/>
      <c r="DH82" s="130"/>
      <c r="DI82" s="130"/>
      <c r="DJ82" s="130"/>
      <c r="DK82" s="131"/>
      <c r="DL82" s="129"/>
      <c r="DM82" s="130"/>
      <c r="DN82" s="130"/>
      <c r="DO82" s="130"/>
      <c r="DP82" s="130"/>
      <c r="DQ82" s="131"/>
      <c r="DR82" s="129"/>
      <c r="DS82" s="130"/>
      <c r="DT82" s="130"/>
      <c r="DU82" s="130"/>
      <c r="DV82" s="130"/>
      <c r="DW82" s="131"/>
      <c r="DX82" s="129"/>
      <c r="DY82" s="130"/>
      <c r="DZ82" s="130"/>
      <c r="EA82" s="130"/>
      <c r="EB82" s="130"/>
      <c r="EC82" s="131"/>
      <c r="ED82" s="129"/>
      <c r="EE82" s="130"/>
      <c r="EF82" s="130"/>
      <c r="EG82" s="130"/>
      <c r="EH82" s="130"/>
      <c r="EI82" s="130"/>
      <c r="EJ82" s="129"/>
      <c r="EK82" s="130"/>
      <c r="EL82" s="130"/>
      <c r="EM82" s="130"/>
      <c r="EN82" s="130"/>
      <c r="EO82" s="130"/>
      <c r="EP82" s="130"/>
      <c r="EQ82" s="130"/>
      <c r="ER82" s="130"/>
      <c r="ES82" s="130"/>
      <c r="ET82" s="130"/>
      <c r="EU82" s="130"/>
      <c r="EV82" s="130"/>
      <c r="EW82" s="130"/>
      <c r="EX82" s="130"/>
      <c r="EY82" s="130"/>
      <c r="EZ82" s="133"/>
      <c r="FA82" s="132"/>
      <c r="FB82" s="132"/>
      <c r="FC82" s="132"/>
      <c r="FD82" s="132"/>
      <c r="FE82" s="132"/>
      <c r="FF82" s="129"/>
      <c r="FG82" s="130"/>
      <c r="FH82" s="130" t="s">
        <v>217</v>
      </c>
      <c r="FI82" s="130"/>
      <c r="FJ82" s="129"/>
      <c r="FK82" s="130"/>
      <c r="FL82" s="131"/>
      <c r="FM82" s="129"/>
    </row>
    <row r="83" spans="1:218" ht="30">
      <c r="A83" s="95" t="s">
        <v>292</v>
      </c>
      <c r="B83" s="96" t="s">
        <v>294</v>
      </c>
      <c r="C83" s="95">
        <v>1</v>
      </c>
      <c r="D83" s="95">
        <f>COUNTA(E83:KX83)</f>
        <v>1</v>
      </c>
      <c r="E83" s="129"/>
      <c r="F83" s="130"/>
      <c r="G83" s="130"/>
      <c r="H83" s="130"/>
      <c r="I83" s="130"/>
      <c r="J83" s="130"/>
      <c r="K83" s="131"/>
      <c r="L83" s="129"/>
      <c r="M83" s="130"/>
      <c r="N83" s="130"/>
      <c r="O83" s="131"/>
      <c r="P83" s="129"/>
      <c r="Q83" s="130"/>
      <c r="R83" s="130"/>
      <c r="S83" s="130"/>
      <c r="T83" s="130"/>
      <c r="U83" s="131"/>
      <c r="V83" s="129"/>
      <c r="W83" s="130"/>
      <c r="X83" s="130"/>
      <c r="Y83" s="130"/>
      <c r="Z83" s="130"/>
      <c r="AA83" s="130"/>
      <c r="AB83" s="131"/>
      <c r="AC83" s="129"/>
      <c r="AD83" s="130"/>
      <c r="AE83" s="130"/>
      <c r="AF83" s="130"/>
      <c r="AG83" s="130"/>
      <c r="AH83" s="131"/>
      <c r="AI83" s="129"/>
      <c r="AJ83" s="130"/>
      <c r="AK83" s="130"/>
      <c r="AL83" s="130"/>
      <c r="AM83" s="130"/>
      <c r="AN83" s="130"/>
      <c r="AO83" s="131"/>
      <c r="AP83" s="129"/>
      <c r="AQ83" s="130"/>
      <c r="AR83" s="130"/>
      <c r="AS83" s="131"/>
      <c r="AT83" s="129"/>
      <c r="AU83" s="130"/>
      <c r="AV83" s="130"/>
      <c r="AW83" s="130"/>
      <c r="AX83" s="130"/>
      <c r="AY83" s="131"/>
      <c r="AZ83" s="129"/>
      <c r="BA83" s="130"/>
      <c r="BB83" s="130"/>
      <c r="BC83" s="130"/>
      <c r="BD83" s="130"/>
      <c r="BE83" s="130"/>
      <c r="BF83" s="131"/>
      <c r="BG83" s="129"/>
      <c r="BH83" s="130"/>
      <c r="BI83" s="130"/>
      <c r="BJ83" s="130"/>
      <c r="BK83" s="131"/>
      <c r="BL83" s="129"/>
      <c r="BM83" s="130"/>
      <c r="BN83" s="130"/>
      <c r="BO83" s="130"/>
      <c r="BP83" s="130"/>
      <c r="BQ83" s="130"/>
      <c r="BR83" s="130"/>
      <c r="BS83" s="131"/>
      <c r="BT83" s="132"/>
      <c r="BU83" s="132"/>
      <c r="BV83" s="132"/>
      <c r="BW83" s="132"/>
      <c r="BX83" s="132"/>
      <c r="BY83" s="129"/>
      <c r="BZ83" s="130"/>
      <c r="CA83" s="130"/>
      <c r="CB83" s="130"/>
      <c r="CC83" s="130"/>
      <c r="CD83" s="131"/>
      <c r="CE83" s="132"/>
      <c r="CF83" s="132"/>
      <c r="CG83" s="132"/>
      <c r="CH83" s="132"/>
      <c r="CI83" s="132"/>
      <c r="CJ83" s="129"/>
      <c r="CK83" s="130"/>
      <c r="CL83" s="131"/>
      <c r="CM83" s="132"/>
      <c r="CN83" s="132"/>
      <c r="CO83" s="132"/>
      <c r="CP83" s="129"/>
      <c r="CQ83" s="130"/>
      <c r="CR83" s="130"/>
      <c r="CS83" s="130"/>
      <c r="CT83" s="131"/>
      <c r="CU83" s="129"/>
      <c r="CV83" s="130"/>
      <c r="CW83" s="130"/>
      <c r="CX83" s="130"/>
      <c r="CY83" s="130"/>
      <c r="CZ83" s="131"/>
      <c r="DA83" s="129"/>
      <c r="DB83" s="130"/>
      <c r="DC83" s="130"/>
      <c r="DD83" s="130"/>
      <c r="DE83" s="131"/>
      <c r="DF83" s="129"/>
      <c r="DG83" s="130"/>
      <c r="DH83" s="130"/>
      <c r="DI83" s="130"/>
      <c r="DJ83" s="130"/>
      <c r="DK83" s="131"/>
      <c r="DL83" s="129"/>
      <c r="DM83" s="130"/>
      <c r="DN83" s="130"/>
      <c r="DO83" s="130"/>
      <c r="DP83" s="130"/>
      <c r="DQ83" s="131"/>
      <c r="DR83" s="129"/>
      <c r="DS83" s="130"/>
      <c r="DT83" s="130"/>
      <c r="DU83" s="130"/>
      <c r="DV83" s="130"/>
      <c r="DW83" s="131"/>
      <c r="DX83" s="129"/>
      <c r="DY83" s="130"/>
      <c r="DZ83" s="130"/>
      <c r="EA83" s="130"/>
      <c r="EB83" s="130"/>
      <c r="EC83" s="131"/>
      <c r="ED83" s="129"/>
      <c r="EE83" s="130"/>
      <c r="EF83" s="130"/>
      <c r="EG83" s="130"/>
      <c r="EH83" s="130"/>
      <c r="EI83" s="130"/>
      <c r="EJ83" s="129"/>
      <c r="EK83" s="130"/>
      <c r="EL83" s="130"/>
      <c r="EM83" s="130"/>
      <c r="EN83" s="130"/>
      <c r="EO83" s="130"/>
      <c r="EP83" s="130"/>
      <c r="EQ83" s="130"/>
      <c r="ER83" s="130"/>
      <c r="ES83" s="130"/>
      <c r="ET83" s="130"/>
      <c r="EU83" s="130"/>
      <c r="EV83" s="130"/>
      <c r="EW83" s="130"/>
      <c r="EX83" s="130"/>
      <c r="EY83" s="130"/>
      <c r="EZ83" s="133"/>
      <c r="FA83" s="132"/>
      <c r="FB83" s="132"/>
      <c r="FC83" s="132"/>
      <c r="FD83" s="132"/>
      <c r="FE83" s="132"/>
      <c r="FF83" s="129" t="s">
        <v>217</v>
      </c>
      <c r="FG83" s="130"/>
      <c r="FH83" s="130"/>
      <c r="FI83" s="130"/>
      <c r="FJ83" s="129"/>
      <c r="FK83" s="130"/>
      <c r="FL83" s="131"/>
      <c r="FM83" s="129"/>
    </row>
    <row r="84" spans="1:218">
      <c r="A84" s="95" t="s">
        <v>292</v>
      </c>
      <c r="B84" s="96" t="s">
        <v>295</v>
      </c>
      <c r="C84" s="95">
        <v>1</v>
      </c>
      <c r="D84" s="95">
        <f>COUNTA(E84:KX84)</f>
        <v>1</v>
      </c>
      <c r="E84" s="129"/>
      <c r="F84" s="130"/>
      <c r="G84" s="130"/>
      <c r="H84" s="130"/>
      <c r="I84" s="130"/>
      <c r="J84" s="130"/>
      <c r="K84" s="131"/>
      <c r="L84" s="129"/>
      <c r="M84" s="130"/>
      <c r="N84" s="130"/>
      <c r="O84" s="131"/>
      <c r="P84" s="129"/>
      <c r="Q84" s="130"/>
      <c r="R84" s="130"/>
      <c r="S84" s="130"/>
      <c r="T84" s="130"/>
      <c r="U84" s="131"/>
      <c r="V84" s="129"/>
      <c r="W84" s="130"/>
      <c r="X84" s="130"/>
      <c r="Y84" s="130"/>
      <c r="Z84" s="130"/>
      <c r="AA84" s="130"/>
      <c r="AB84" s="131"/>
      <c r="AC84" s="129"/>
      <c r="AD84" s="130"/>
      <c r="AE84" s="130"/>
      <c r="AF84" s="130"/>
      <c r="AG84" s="130"/>
      <c r="AH84" s="131"/>
      <c r="AI84" s="129"/>
      <c r="AJ84" s="130"/>
      <c r="AK84" s="130"/>
      <c r="AL84" s="130"/>
      <c r="AM84" s="130"/>
      <c r="AN84" s="130"/>
      <c r="AO84" s="131"/>
      <c r="AP84" s="129"/>
      <c r="AQ84" s="130"/>
      <c r="AR84" s="130"/>
      <c r="AS84" s="131"/>
      <c r="AT84" s="129"/>
      <c r="AU84" s="130"/>
      <c r="AV84" s="130"/>
      <c r="AW84" s="130"/>
      <c r="AX84" s="130"/>
      <c r="AY84" s="131"/>
      <c r="AZ84" s="129"/>
      <c r="BA84" s="130"/>
      <c r="BB84" s="130"/>
      <c r="BC84" s="130"/>
      <c r="BD84" s="130"/>
      <c r="BE84" s="130"/>
      <c r="BF84" s="131"/>
      <c r="BG84" s="129"/>
      <c r="BH84" s="130"/>
      <c r="BI84" s="130"/>
      <c r="BJ84" s="130"/>
      <c r="BK84" s="131"/>
      <c r="BL84" s="129"/>
      <c r="BM84" s="130"/>
      <c r="BN84" s="130"/>
      <c r="BO84" s="130"/>
      <c r="BP84" s="130"/>
      <c r="BQ84" s="130"/>
      <c r="BR84" s="130"/>
      <c r="BS84" s="131"/>
      <c r="BT84" s="132"/>
      <c r="BU84" s="132"/>
      <c r="BV84" s="132"/>
      <c r="BW84" s="132"/>
      <c r="BX84" s="132"/>
      <c r="BY84" s="129"/>
      <c r="BZ84" s="130"/>
      <c r="CA84" s="130"/>
      <c r="CB84" s="130"/>
      <c r="CC84" s="130"/>
      <c r="CD84" s="131"/>
      <c r="CE84" s="132"/>
      <c r="CF84" s="132"/>
      <c r="CG84" s="132"/>
      <c r="CH84" s="132"/>
      <c r="CI84" s="132"/>
      <c r="CJ84" s="129"/>
      <c r="CK84" s="130"/>
      <c r="CL84" s="131"/>
      <c r="CM84" s="132"/>
      <c r="CN84" s="132"/>
      <c r="CO84" s="132"/>
      <c r="CP84" s="129"/>
      <c r="CQ84" s="130"/>
      <c r="CR84" s="130"/>
      <c r="CS84" s="130"/>
      <c r="CT84" s="131"/>
      <c r="CU84" s="129"/>
      <c r="CV84" s="130"/>
      <c r="CW84" s="130"/>
      <c r="CX84" s="130"/>
      <c r="CY84" s="130"/>
      <c r="CZ84" s="131"/>
      <c r="DA84" s="129"/>
      <c r="DB84" s="130"/>
      <c r="DC84" s="130"/>
      <c r="DD84" s="130"/>
      <c r="DE84" s="131"/>
      <c r="DF84" s="129"/>
      <c r="DG84" s="130"/>
      <c r="DH84" s="130"/>
      <c r="DI84" s="130"/>
      <c r="DJ84" s="130"/>
      <c r="DK84" s="131"/>
      <c r="DL84" s="129"/>
      <c r="DM84" s="130"/>
      <c r="DN84" s="130"/>
      <c r="DO84" s="130"/>
      <c r="DP84" s="130"/>
      <c r="DQ84" s="131"/>
      <c r="DR84" s="129"/>
      <c r="DS84" s="130"/>
      <c r="DT84" s="130"/>
      <c r="DU84" s="130"/>
      <c r="DV84" s="130"/>
      <c r="DW84" s="131"/>
      <c r="DX84" s="129"/>
      <c r="DY84" s="130"/>
      <c r="DZ84" s="130"/>
      <c r="EA84" s="130"/>
      <c r="EB84" s="130"/>
      <c r="EC84" s="131"/>
      <c r="ED84" s="129"/>
      <c r="EE84" s="130"/>
      <c r="EF84" s="130"/>
      <c r="EG84" s="130"/>
      <c r="EH84" s="130"/>
      <c r="EI84" s="130"/>
      <c r="EJ84" s="129"/>
      <c r="EK84" s="130"/>
      <c r="EL84" s="130"/>
      <c r="EM84" s="130"/>
      <c r="EN84" s="130"/>
      <c r="EO84" s="130"/>
      <c r="EP84" s="130"/>
      <c r="EQ84" s="130"/>
      <c r="ER84" s="130"/>
      <c r="ES84" s="130"/>
      <c r="ET84" s="130"/>
      <c r="EU84" s="130"/>
      <c r="EV84" s="130"/>
      <c r="EW84" s="130"/>
      <c r="EX84" s="130"/>
      <c r="EY84" s="130"/>
      <c r="EZ84" s="133"/>
      <c r="FA84" s="132"/>
      <c r="FB84" s="132"/>
      <c r="FC84" s="132"/>
      <c r="FD84" s="132"/>
      <c r="FE84" s="132"/>
      <c r="FF84" s="129" t="s">
        <v>217</v>
      </c>
      <c r="FG84" s="130"/>
      <c r="FH84" s="130"/>
      <c r="FI84" s="130"/>
      <c r="FJ84" s="129"/>
      <c r="FK84" s="130"/>
      <c r="FL84" s="131"/>
      <c r="FM84" s="129"/>
    </row>
    <row r="85" spans="1:218">
      <c r="A85" s="95" t="s">
        <v>292</v>
      </c>
      <c r="B85" s="96" t="s">
        <v>296</v>
      </c>
      <c r="C85" s="95">
        <v>1</v>
      </c>
      <c r="D85" s="95">
        <f>COUNTA(E85:KX85)</f>
        <v>1</v>
      </c>
      <c r="E85" s="129"/>
      <c r="F85" s="130"/>
      <c r="G85" s="130"/>
      <c r="H85" s="130"/>
      <c r="I85" s="130"/>
      <c r="J85" s="130"/>
      <c r="K85" s="131"/>
      <c r="L85" s="129"/>
      <c r="M85" s="130"/>
      <c r="N85" s="130"/>
      <c r="O85" s="131"/>
      <c r="P85" s="129"/>
      <c r="Q85" s="130"/>
      <c r="R85" s="130"/>
      <c r="S85" s="130"/>
      <c r="T85" s="130"/>
      <c r="U85" s="131"/>
      <c r="V85" s="129"/>
      <c r="W85" s="130"/>
      <c r="X85" s="130"/>
      <c r="Y85" s="130"/>
      <c r="Z85" s="130"/>
      <c r="AA85" s="130"/>
      <c r="AB85" s="131"/>
      <c r="AC85" s="129"/>
      <c r="AD85" s="130"/>
      <c r="AE85" s="130"/>
      <c r="AF85" s="130"/>
      <c r="AG85" s="130"/>
      <c r="AH85" s="131"/>
      <c r="AI85" s="129"/>
      <c r="AJ85" s="130"/>
      <c r="AK85" s="130"/>
      <c r="AL85" s="130"/>
      <c r="AM85" s="130"/>
      <c r="AN85" s="130"/>
      <c r="AO85" s="131"/>
      <c r="AP85" s="129"/>
      <c r="AQ85" s="130"/>
      <c r="AR85" s="130"/>
      <c r="AS85" s="131"/>
      <c r="AT85" s="129"/>
      <c r="AU85" s="130"/>
      <c r="AV85" s="130"/>
      <c r="AW85" s="130"/>
      <c r="AX85" s="130"/>
      <c r="AY85" s="131"/>
      <c r="AZ85" s="129"/>
      <c r="BA85" s="130"/>
      <c r="BB85" s="130"/>
      <c r="BC85" s="130"/>
      <c r="BD85" s="130"/>
      <c r="BE85" s="130"/>
      <c r="BF85" s="131"/>
      <c r="BG85" s="129"/>
      <c r="BH85" s="130"/>
      <c r="BI85" s="130"/>
      <c r="BJ85" s="130"/>
      <c r="BK85" s="131"/>
      <c r="BL85" s="129"/>
      <c r="BM85" s="130"/>
      <c r="BN85" s="130"/>
      <c r="BO85" s="130"/>
      <c r="BP85" s="130"/>
      <c r="BQ85" s="130"/>
      <c r="BR85" s="130"/>
      <c r="BS85" s="131"/>
      <c r="BT85" s="132"/>
      <c r="BU85" s="132"/>
      <c r="BV85" s="132"/>
      <c r="BW85" s="132"/>
      <c r="BX85" s="132"/>
      <c r="BY85" s="129"/>
      <c r="BZ85" s="130"/>
      <c r="CA85" s="130"/>
      <c r="CB85" s="130"/>
      <c r="CC85" s="130"/>
      <c r="CD85" s="131"/>
      <c r="CE85" s="132"/>
      <c r="CF85" s="132"/>
      <c r="CG85" s="132"/>
      <c r="CH85" s="132"/>
      <c r="CI85" s="132"/>
      <c r="CJ85" s="129"/>
      <c r="CK85" s="130"/>
      <c r="CL85" s="131"/>
      <c r="CM85" s="132"/>
      <c r="CN85" s="132"/>
      <c r="CO85" s="132"/>
      <c r="CP85" s="129"/>
      <c r="CQ85" s="130"/>
      <c r="CR85" s="130"/>
      <c r="CS85" s="130"/>
      <c r="CT85" s="131"/>
      <c r="CU85" s="129"/>
      <c r="CV85" s="130"/>
      <c r="CW85" s="130"/>
      <c r="CX85" s="130"/>
      <c r="CY85" s="130"/>
      <c r="CZ85" s="131"/>
      <c r="DA85" s="129"/>
      <c r="DB85" s="130"/>
      <c r="DC85" s="130"/>
      <c r="DD85" s="130"/>
      <c r="DE85" s="131"/>
      <c r="DF85" s="129"/>
      <c r="DG85" s="130"/>
      <c r="DH85" s="130"/>
      <c r="DI85" s="130"/>
      <c r="DJ85" s="130"/>
      <c r="DK85" s="131"/>
      <c r="DL85" s="129"/>
      <c r="DM85" s="130"/>
      <c r="DN85" s="130"/>
      <c r="DO85" s="130"/>
      <c r="DP85" s="130"/>
      <c r="DQ85" s="131"/>
      <c r="DR85" s="129"/>
      <c r="DS85" s="130"/>
      <c r="DT85" s="130"/>
      <c r="DU85" s="130"/>
      <c r="DV85" s="130"/>
      <c r="DW85" s="131"/>
      <c r="DX85" s="129"/>
      <c r="DY85" s="130"/>
      <c r="DZ85" s="130"/>
      <c r="EA85" s="130"/>
      <c r="EB85" s="130"/>
      <c r="EC85" s="131"/>
      <c r="ED85" s="129"/>
      <c r="EE85" s="130"/>
      <c r="EF85" s="130"/>
      <c r="EG85" s="130"/>
      <c r="EH85" s="130"/>
      <c r="EI85" s="130"/>
      <c r="EJ85" s="129"/>
      <c r="EK85" s="130"/>
      <c r="EL85" s="130"/>
      <c r="EM85" s="130"/>
      <c r="EN85" s="130"/>
      <c r="EO85" s="130"/>
      <c r="EP85" s="130"/>
      <c r="EQ85" s="130"/>
      <c r="ER85" s="130"/>
      <c r="ES85" s="130"/>
      <c r="ET85" s="130"/>
      <c r="EU85" s="130"/>
      <c r="EV85" s="130"/>
      <c r="EW85" s="130"/>
      <c r="EX85" s="130"/>
      <c r="EY85" s="130"/>
      <c r="EZ85" s="133"/>
      <c r="FA85" s="132"/>
      <c r="FB85" s="132"/>
      <c r="FC85" s="132"/>
      <c r="FD85" s="132"/>
      <c r="FE85" s="132"/>
      <c r="FF85" s="129"/>
      <c r="FG85" s="130" t="s">
        <v>217</v>
      </c>
      <c r="FH85" s="130"/>
      <c r="FI85" s="130"/>
      <c r="FJ85" s="129"/>
      <c r="FK85" s="130"/>
      <c r="FL85" s="131"/>
      <c r="FM85" s="129"/>
    </row>
    <row r="86" spans="1:218" ht="30">
      <c r="A86" s="95" t="s">
        <v>292</v>
      </c>
      <c r="B86" s="96" t="s">
        <v>297</v>
      </c>
      <c r="D86" s="95">
        <f t="shared" ref="D86:D143" si="5">COUNTA(E86:KX86)</f>
        <v>0</v>
      </c>
      <c r="E86" s="129"/>
      <c r="F86" s="130"/>
      <c r="G86" s="130"/>
      <c r="H86" s="130"/>
      <c r="I86" s="130"/>
      <c r="J86" s="130"/>
      <c r="K86" s="131"/>
      <c r="L86" s="129"/>
      <c r="M86" s="130"/>
      <c r="N86" s="130"/>
      <c r="O86" s="131"/>
      <c r="P86" s="129"/>
      <c r="Q86" s="130"/>
      <c r="R86" s="130"/>
      <c r="S86" s="130"/>
      <c r="T86" s="130"/>
      <c r="U86" s="131"/>
      <c r="V86" s="129"/>
      <c r="W86" s="130"/>
      <c r="X86" s="130"/>
      <c r="Y86" s="130"/>
      <c r="Z86" s="130"/>
      <c r="AA86" s="130"/>
      <c r="AB86" s="131"/>
      <c r="AC86" s="129"/>
      <c r="AD86" s="130"/>
      <c r="AE86" s="130"/>
      <c r="AF86" s="130"/>
      <c r="AG86" s="130"/>
      <c r="AH86" s="131"/>
      <c r="AI86" s="129"/>
      <c r="AJ86" s="130"/>
      <c r="AK86" s="130"/>
      <c r="AL86" s="130"/>
      <c r="AM86" s="130"/>
      <c r="AN86" s="130"/>
      <c r="AO86" s="131"/>
      <c r="AP86" s="129"/>
      <c r="AQ86" s="130"/>
      <c r="AR86" s="130"/>
      <c r="AS86" s="131"/>
      <c r="AT86" s="129"/>
      <c r="AU86" s="130"/>
      <c r="AV86" s="130"/>
      <c r="AW86" s="130"/>
      <c r="AX86" s="130"/>
      <c r="AY86" s="131"/>
      <c r="AZ86" s="129"/>
      <c r="BA86" s="130"/>
      <c r="BB86" s="130"/>
      <c r="BC86" s="130"/>
      <c r="BD86" s="130"/>
      <c r="BE86" s="130"/>
      <c r="BF86" s="131"/>
      <c r="BG86" s="129"/>
      <c r="BH86" s="130"/>
      <c r="BI86" s="130"/>
      <c r="BJ86" s="130"/>
      <c r="BK86" s="131"/>
      <c r="BL86" s="129"/>
      <c r="BM86" s="130"/>
      <c r="BN86" s="130"/>
      <c r="BO86" s="130"/>
      <c r="BP86" s="130"/>
      <c r="BQ86" s="130"/>
      <c r="BR86" s="130"/>
      <c r="BS86" s="131"/>
      <c r="BT86" s="132"/>
      <c r="BU86" s="132"/>
      <c r="BV86" s="132"/>
      <c r="BW86" s="132"/>
      <c r="BX86" s="132"/>
      <c r="BY86" s="129"/>
      <c r="BZ86" s="130"/>
      <c r="CA86" s="130"/>
      <c r="CB86" s="130"/>
      <c r="CC86" s="130"/>
      <c r="CD86" s="131"/>
      <c r="CE86" s="132"/>
      <c r="CF86" s="132"/>
      <c r="CG86" s="132"/>
      <c r="CH86" s="132"/>
      <c r="CI86" s="132"/>
      <c r="CJ86" s="129"/>
      <c r="CK86" s="130"/>
      <c r="CL86" s="131"/>
      <c r="CM86" s="132"/>
      <c r="CN86" s="132"/>
      <c r="CO86" s="132"/>
      <c r="CP86" s="129"/>
      <c r="CQ86" s="130"/>
      <c r="CR86" s="130"/>
      <c r="CS86" s="130"/>
      <c r="CT86" s="131"/>
      <c r="CU86" s="129"/>
      <c r="CV86" s="130"/>
      <c r="CW86" s="130"/>
      <c r="CX86" s="130"/>
      <c r="CY86" s="130"/>
      <c r="CZ86" s="131"/>
      <c r="DA86" s="129"/>
      <c r="DB86" s="130"/>
      <c r="DC86" s="130"/>
      <c r="DD86" s="130"/>
      <c r="DE86" s="131"/>
      <c r="DF86" s="129"/>
      <c r="DG86" s="130"/>
      <c r="DH86" s="130"/>
      <c r="DI86" s="130"/>
      <c r="DJ86" s="130"/>
      <c r="DK86" s="131"/>
      <c r="DL86" s="129"/>
      <c r="DM86" s="130"/>
      <c r="DN86" s="130"/>
      <c r="DO86" s="130"/>
      <c r="DP86" s="130"/>
      <c r="DQ86" s="131"/>
      <c r="DR86" s="129"/>
      <c r="DS86" s="130"/>
      <c r="DT86" s="130"/>
      <c r="DU86" s="130"/>
      <c r="DV86" s="130"/>
      <c r="DW86" s="131"/>
      <c r="DX86" s="129"/>
      <c r="DY86" s="130"/>
      <c r="DZ86" s="130"/>
      <c r="EA86" s="130"/>
      <c r="EB86" s="130"/>
      <c r="EC86" s="131"/>
      <c r="ED86" s="129"/>
      <c r="EE86" s="130"/>
      <c r="EF86" s="130"/>
      <c r="EG86" s="130"/>
      <c r="EH86" s="130"/>
      <c r="EI86" s="130"/>
      <c r="EJ86" s="129"/>
      <c r="EK86" s="130"/>
      <c r="EL86" s="130"/>
      <c r="EM86" s="130"/>
      <c r="EN86" s="130"/>
      <c r="EO86" s="130"/>
      <c r="EP86" s="130"/>
      <c r="EQ86" s="130"/>
      <c r="ER86" s="130"/>
      <c r="ES86" s="130"/>
      <c r="ET86" s="130"/>
      <c r="EU86" s="130"/>
      <c r="EV86" s="130"/>
      <c r="EW86" s="130"/>
      <c r="EX86" s="130"/>
      <c r="EY86" s="130"/>
      <c r="EZ86" s="133"/>
      <c r="FA86" s="132"/>
      <c r="FB86" s="132"/>
      <c r="FC86" s="132"/>
      <c r="FD86" s="132"/>
      <c r="FE86" s="132"/>
      <c r="FF86" s="129"/>
      <c r="FG86" s="130"/>
      <c r="FH86" s="130"/>
      <c r="FI86" s="130"/>
      <c r="FJ86" s="129"/>
      <c r="FK86" s="130"/>
      <c r="FL86" s="131"/>
      <c r="FM86" s="129"/>
    </row>
    <row r="87" spans="1:218" ht="30">
      <c r="A87" s="95" t="s">
        <v>298</v>
      </c>
      <c r="B87" s="96" t="s">
        <v>299</v>
      </c>
      <c r="C87" s="95">
        <v>2</v>
      </c>
      <c r="D87" s="95">
        <f t="shared" si="5"/>
        <v>7</v>
      </c>
      <c r="E87" s="129"/>
      <c r="F87" s="130"/>
      <c r="G87" s="130"/>
      <c r="H87" s="130"/>
      <c r="I87" s="130"/>
      <c r="J87" s="130"/>
      <c r="K87" s="131"/>
      <c r="L87" s="129"/>
      <c r="M87" s="130"/>
      <c r="N87" s="130"/>
      <c r="O87" s="131"/>
      <c r="P87" s="129"/>
      <c r="Q87" s="130"/>
      <c r="R87" s="130"/>
      <c r="S87" s="130"/>
      <c r="T87" s="130"/>
      <c r="U87" s="131"/>
      <c r="V87" s="129"/>
      <c r="W87" s="130"/>
      <c r="X87" s="130"/>
      <c r="Y87" s="130"/>
      <c r="Z87" s="130"/>
      <c r="AA87" s="130"/>
      <c r="AB87" s="131"/>
      <c r="AC87" s="129"/>
      <c r="AD87" s="130"/>
      <c r="AE87" s="130"/>
      <c r="AF87" s="130"/>
      <c r="AG87" s="130"/>
      <c r="AH87" s="131"/>
      <c r="AI87" s="129"/>
      <c r="AJ87" s="130"/>
      <c r="AK87" s="130"/>
      <c r="AL87" s="130"/>
      <c r="AM87" s="130"/>
      <c r="AN87" s="130"/>
      <c r="AO87" s="131"/>
      <c r="AP87" s="129"/>
      <c r="AQ87" s="130"/>
      <c r="AR87" s="130"/>
      <c r="AS87" s="131"/>
      <c r="AT87" s="129"/>
      <c r="AU87" s="130"/>
      <c r="AV87" s="130"/>
      <c r="AW87" s="130"/>
      <c r="AX87" s="130"/>
      <c r="AY87" s="131"/>
      <c r="AZ87" s="129"/>
      <c r="BA87" s="130"/>
      <c r="BB87" s="130"/>
      <c r="BC87" s="130"/>
      <c r="BD87" s="130"/>
      <c r="BE87" s="130"/>
      <c r="BF87" s="131"/>
      <c r="BG87" s="129"/>
      <c r="BH87" s="130"/>
      <c r="BI87" s="130"/>
      <c r="BJ87" s="130"/>
      <c r="BK87" s="131"/>
      <c r="BL87" s="129"/>
      <c r="BM87" s="130"/>
      <c r="BN87" s="130"/>
      <c r="BO87" s="130"/>
      <c r="BP87" s="130"/>
      <c r="BQ87" s="130"/>
      <c r="BR87" s="130"/>
      <c r="BS87" s="131"/>
      <c r="BT87" s="132"/>
      <c r="BU87" s="132" t="s">
        <v>217</v>
      </c>
      <c r="BV87" s="132" t="s">
        <v>217</v>
      </c>
      <c r="BW87" s="132"/>
      <c r="BX87" s="132"/>
      <c r="BY87" s="129"/>
      <c r="BZ87" s="130"/>
      <c r="CA87" s="130"/>
      <c r="CB87" s="130" t="s">
        <v>217</v>
      </c>
      <c r="CC87" s="130"/>
      <c r="CD87" s="131"/>
      <c r="CE87" s="132"/>
      <c r="CF87" s="132" t="s">
        <v>217</v>
      </c>
      <c r="CG87" s="132"/>
      <c r="CH87" s="132"/>
      <c r="CI87" s="132"/>
      <c r="CJ87" s="129"/>
      <c r="CK87" s="130"/>
      <c r="CL87" s="131"/>
      <c r="CM87" s="132"/>
      <c r="CN87" s="132"/>
      <c r="CO87" s="132"/>
      <c r="CP87" s="129"/>
      <c r="CQ87" s="130" t="s">
        <v>217</v>
      </c>
      <c r="CR87" s="130"/>
      <c r="CS87" s="130"/>
      <c r="CT87" s="131"/>
      <c r="CU87" s="129"/>
      <c r="CV87" s="130"/>
      <c r="CW87" s="130" t="s">
        <v>217</v>
      </c>
      <c r="CX87" s="130"/>
      <c r="CY87" s="130"/>
      <c r="CZ87" s="131"/>
      <c r="DA87" s="129"/>
      <c r="DB87" s="130" t="s">
        <v>217</v>
      </c>
      <c r="DC87" s="130"/>
      <c r="DD87" s="130"/>
      <c r="DE87" s="131"/>
      <c r="DF87" s="129"/>
      <c r="DG87" s="130"/>
      <c r="DH87" s="130"/>
      <c r="DI87" s="130"/>
      <c r="DJ87" s="130"/>
      <c r="DK87" s="131"/>
      <c r="DL87" s="129"/>
      <c r="DM87" s="130"/>
      <c r="DN87" s="130"/>
      <c r="DO87" s="130"/>
      <c r="DP87" s="130"/>
      <c r="DQ87" s="131"/>
      <c r="DR87" s="129"/>
      <c r="DS87" s="130"/>
      <c r="DT87" s="130"/>
      <c r="DU87" s="130"/>
      <c r="DV87" s="130"/>
      <c r="DW87" s="131"/>
      <c r="DX87" s="129"/>
      <c r="DY87" s="130"/>
      <c r="DZ87" s="130"/>
      <c r="EA87" s="130"/>
      <c r="EB87" s="130"/>
      <c r="EC87" s="131"/>
      <c r="ED87" s="129"/>
      <c r="EE87" s="130"/>
      <c r="EF87" s="130"/>
      <c r="EG87" s="130"/>
      <c r="EH87" s="130"/>
      <c r="EI87" s="130"/>
      <c r="EJ87" s="129"/>
      <c r="EK87" s="130"/>
      <c r="EL87" s="130"/>
      <c r="EM87" s="130"/>
      <c r="EN87" s="130"/>
      <c r="EO87" s="130"/>
      <c r="EP87" s="130"/>
      <c r="EQ87" s="130"/>
      <c r="ER87" s="130"/>
      <c r="ES87" s="130"/>
      <c r="ET87" s="130"/>
      <c r="EU87" s="130"/>
      <c r="EV87" s="130"/>
      <c r="EW87" s="130"/>
      <c r="EX87" s="130"/>
      <c r="EY87" s="130"/>
      <c r="EZ87" s="133"/>
      <c r="FA87" s="132"/>
      <c r="FB87" s="132"/>
      <c r="FC87" s="132"/>
      <c r="FD87" s="132"/>
      <c r="FE87" s="132"/>
      <c r="FF87" s="129"/>
      <c r="FG87" s="130"/>
      <c r="FH87" s="130"/>
      <c r="FI87" s="130"/>
      <c r="FJ87" s="129"/>
      <c r="FK87" s="130"/>
      <c r="FL87" s="131"/>
      <c r="FM87" s="129"/>
    </row>
    <row r="88" spans="1:218" ht="30">
      <c r="A88" s="95" t="s">
        <v>298</v>
      </c>
      <c r="B88" s="96" t="s">
        <v>300</v>
      </c>
      <c r="C88" s="95">
        <v>1</v>
      </c>
      <c r="D88" s="95">
        <f t="shared" si="5"/>
        <v>2</v>
      </c>
      <c r="E88" s="129"/>
      <c r="F88" s="130"/>
      <c r="G88" s="130"/>
      <c r="H88" s="130"/>
      <c r="I88" s="130"/>
      <c r="J88" s="130"/>
      <c r="K88" s="131"/>
      <c r="L88" s="129"/>
      <c r="M88" s="130"/>
      <c r="N88" s="130"/>
      <c r="O88" s="131"/>
      <c r="P88" s="129"/>
      <c r="Q88" s="130" t="s">
        <v>149</v>
      </c>
      <c r="R88" s="130"/>
      <c r="S88" s="130"/>
      <c r="T88" s="130"/>
      <c r="U88" s="131"/>
      <c r="V88" s="129"/>
      <c r="W88" s="130"/>
      <c r="X88" s="130"/>
      <c r="Y88" s="130"/>
      <c r="Z88" s="130"/>
      <c r="AA88" s="130"/>
      <c r="AB88" s="131"/>
      <c r="AC88" s="129"/>
      <c r="AD88" s="130"/>
      <c r="AE88" s="130"/>
      <c r="AF88" s="130"/>
      <c r="AG88" s="130"/>
      <c r="AH88" s="131"/>
      <c r="AI88" s="129"/>
      <c r="AJ88" s="130"/>
      <c r="AK88" s="130"/>
      <c r="AL88" s="130"/>
      <c r="AM88" s="130"/>
      <c r="AN88" s="130"/>
      <c r="AO88" s="131"/>
      <c r="AP88" s="129"/>
      <c r="AQ88" s="130"/>
      <c r="AR88" s="130"/>
      <c r="AS88" s="131"/>
      <c r="AT88" s="129"/>
      <c r="AU88" s="130" t="s">
        <v>217</v>
      </c>
      <c r="AV88" s="130"/>
      <c r="AW88" s="130"/>
      <c r="AX88" s="130"/>
      <c r="AY88" s="131"/>
      <c r="AZ88" s="129"/>
      <c r="BA88" s="130"/>
      <c r="BB88" s="130"/>
      <c r="BC88" s="130"/>
      <c r="BD88" s="130"/>
      <c r="BE88" s="130"/>
      <c r="BF88" s="131"/>
      <c r="BG88" s="129"/>
      <c r="BH88" s="130"/>
      <c r="BI88" s="130"/>
      <c r="BJ88" s="130"/>
      <c r="BK88" s="131"/>
      <c r="BL88" s="129"/>
      <c r="BM88" s="130"/>
      <c r="BN88" s="130"/>
      <c r="BO88" s="130"/>
      <c r="BP88" s="130"/>
      <c r="BQ88" s="130"/>
      <c r="BR88" s="130"/>
      <c r="BS88" s="131"/>
      <c r="BT88" s="132"/>
      <c r="BU88" s="132"/>
      <c r="BV88" s="132"/>
      <c r="BW88" s="132"/>
      <c r="BX88" s="132"/>
      <c r="BY88" s="129"/>
      <c r="BZ88" s="130"/>
      <c r="CA88" s="130"/>
      <c r="CB88" s="130"/>
      <c r="CC88" s="130"/>
      <c r="CD88" s="131"/>
      <c r="CE88" s="132"/>
      <c r="CF88" s="132"/>
      <c r="CG88" s="132"/>
      <c r="CH88" s="132"/>
      <c r="CI88" s="132"/>
      <c r="CJ88" s="129"/>
      <c r="CK88" s="130"/>
      <c r="CL88" s="131"/>
      <c r="CM88" s="132"/>
      <c r="CN88" s="132"/>
      <c r="CO88" s="132"/>
      <c r="CP88" s="129"/>
      <c r="CQ88" s="130"/>
      <c r="CR88" s="130"/>
      <c r="CS88" s="130"/>
      <c r="CT88" s="131"/>
      <c r="CU88" s="129"/>
      <c r="CV88" s="130"/>
      <c r="CW88" s="130"/>
      <c r="CX88" s="130"/>
      <c r="CY88" s="130"/>
      <c r="CZ88" s="131"/>
      <c r="DA88" s="129"/>
      <c r="DB88" s="130"/>
      <c r="DC88" s="130"/>
      <c r="DD88" s="130"/>
      <c r="DE88" s="131"/>
      <c r="DF88" s="129"/>
      <c r="DG88" s="130"/>
      <c r="DH88" s="130"/>
      <c r="DI88" s="130"/>
      <c r="DJ88" s="130"/>
      <c r="DK88" s="131"/>
      <c r="DL88" s="129"/>
      <c r="DM88" s="130"/>
      <c r="DN88" s="130"/>
      <c r="DO88" s="130"/>
      <c r="DP88" s="130"/>
      <c r="DQ88" s="131"/>
      <c r="DR88" s="129"/>
      <c r="DS88" s="130"/>
      <c r="DT88" s="130"/>
      <c r="DU88" s="130"/>
      <c r="DV88" s="130"/>
      <c r="DW88" s="131"/>
      <c r="DX88" s="129"/>
      <c r="DY88" s="130"/>
      <c r="DZ88" s="130"/>
      <c r="EA88" s="130"/>
      <c r="EB88" s="130"/>
      <c r="EC88" s="131"/>
      <c r="ED88" s="129"/>
      <c r="EE88" s="130"/>
      <c r="EF88" s="130"/>
      <c r="EG88" s="130"/>
      <c r="EH88" s="130"/>
      <c r="EI88" s="130"/>
      <c r="EJ88" s="129"/>
      <c r="EK88" s="130"/>
      <c r="EL88" s="130"/>
      <c r="EM88" s="130"/>
      <c r="EN88" s="130"/>
      <c r="EO88" s="130"/>
      <c r="EP88" s="130"/>
      <c r="EQ88" s="130"/>
      <c r="ER88" s="130"/>
      <c r="ES88" s="130"/>
      <c r="ET88" s="130"/>
      <c r="EU88" s="130"/>
      <c r="EV88" s="130"/>
      <c r="EW88" s="130"/>
      <c r="EX88" s="130"/>
      <c r="EY88" s="130"/>
      <c r="EZ88" s="133"/>
      <c r="FA88" s="132"/>
      <c r="FB88" s="132"/>
      <c r="FC88" s="132"/>
      <c r="FD88" s="132"/>
      <c r="FE88" s="132"/>
      <c r="FF88" s="129"/>
      <c r="FG88" s="130"/>
      <c r="FH88" s="130"/>
      <c r="FI88" s="130"/>
      <c r="FJ88" s="129"/>
      <c r="FK88" s="130"/>
      <c r="FL88" s="131"/>
      <c r="FM88" s="129"/>
    </row>
    <row r="89" spans="1:218">
      <c r="A89" s="95" t="s">
        <v>298</v>
      </c>
      <c r="B89" s="96" t="s">
        <v>301</v>
      </c>
      <c r="D89" s="95">
        <f t="shared" si="5"/>
        <v>5</v>
      </c>
      <c r="E89" s="129"/>
      <c r="F89" s="130"/>
      <c r="G89" s="130"/>
      <c r="H89" s="130"/>
      <c r="I89" s="130"/>
      <c r="J89" s="130"/>
      <c r="K89" s="131"/>
      <c r="L89" s="129"/>
      <c r="M89" s="130"/>
      <c r="N89" s="130"/>
      <c r="O89" s="131"/>
      <c r="P89" s="129"/>
      <c r="Q89" s="130"/>
      <c r="R89" s="130"/>
      <c r="S89" s="130"/>
      <c r="T89" s="130"/>
      <c r="U89" s="131"/>
      <c r="V89" s="129"/>
      <c r="W89" s="130"/>
      <c r="X89" s="130"/>
      <c r="Y89" s="130"/>
      <c r="Z89" s="130"/>
      <c r="AA89" s="130"/>
      <c r="AB89" s="131"/>
      <c r="AC89" s="129"/>
      <c r="AD89" s="130"/>
      <c r="AE89" s="130"/>
      <c r="AF89" s="130"/>
      <c r="AG89" s="130"/>
      <c r="AH89" s="131"/>
      <c r="AI89" s="129"/>
      <c r="AJ89" s="130"/>
      <c r="AK89" s="130"/>
      <c r="AL89" s="130"/>
      <c r="AM89" s="130"/>
      <c r="AN89" s="130"/>
      <c r="AO89" s="131"/>
      <c r="AP89" s="129"/>
      <c r="AQ89" s="130"/>
      <c r="AR89" s="130"/>
      <c r="AS89" s="131"/>
      <c r="AT89" s="129"/>
      <c r="AU89" s="130"/>
      <c r="AV89" s="130"/>
      <c r="AW89" s="130"/>
      <c r="AX89" s="130"/>
      <c r="AY89" s="131"/>
      <c r="AZ89" s="129"/>
      <c r="BA89" s="130"/>
      <c r="BB89" s="130"/>
      <c r="BC89" s="130"/>
      <c r="BD89" s="130"/>
      <c r="BE89" s="130"/>
      <c r="BF89" s="131"/>
      <c r="BG89" s="129"/>
      <c r="BH89" s="130"/>
      <c r="BI89" s="130"/>
      <c r="BJ89" s="130"/>
      <c r="BK89" s="131"/>
      <c r="BL89" s="129"/>
      <c r="BM89" s="130"/>
      <c r="BN89" s="130"/>
      <c r="BO89" s="130"/>
      <c r="BP89" s="130"/>
      <c r="BQ89" s="130"/>
      <c r="BR89" s="130"/>
      <c r="BS89" s="131"/>
      <c r="BT89" s="132"/>
      <c r="BU89" s="132"/>
      <c r="BV89" s="132" t="s">
        <v>217</v>
      </c>
      <c r="BW89" s="132"/>
      <c r="BX89" s="132"/>
      <c r="BY89" s="129"/>
      <c r="BZ89" s="130"/>
      <c r="CA89" s="130"/>
      <c r="CB89" s="130" t="s">
        <v>217</v>
      </c>
      <c r="CC89" s="130"/>
      <c r="CD89" s="131"/>
      <c r="CE89" s="132"/>
      <c r="CF89" s="132"/>
      <c r="CG89" s="132" t="s">
        <v>217</v>
      </c>
      <c r="CH89" s="132"/>
      <c r="CI89" s="132"/>
      <c r="CJ89" s="129" t="s">
        <v>217</v>
      </c>
      <c r="CK89" s="130"/>
      <c r="CL89" s="131"/>
      <c r="CM89" s="132" t="s">
        <v>217</v>
      </c>
      <c r="CN89" s="132"/>
      <c r="CO89" s="132"/>
      <c r="CP89" s="129"/>
      <c r="CQ89" s="130"/>
      <c r="CR89" s="130"/>
      <c r="CS89" s="130"/>
      <c r="CT89" s="131"/>
      <c r="CU89" s="129"/>
      <c r="CV89" s="130"/>
      <c r="CW89" s="130"/>
      <c r="CX89" s="130"/>
      <c r="CY89" s="130"/>
      <c r="CZ89" s="131"/>
      <c r="DA89" s="129"/>
      <c r="DB89" s="130"/>
      <c r="DC89" s="130"/>
      <c r="DD89" s="130"/>
      <c r="DE89" s="131"/>
      <c r="DF89" s="129"/>
      <c r="DG89" s="130"/>
      <c r="DH89" s="130"/>
      <c r="DI89" s="130"/>
      <c r="DJ89" s="130"/>
      <c r="DK89" s="131"/>
      <c r="DL89" s="129"/>
      <c r="DM89" s="130"/>
      <c r="DN89" s="130"/>
      <c r="DO89" s="130"/>
      <c r="DP89" s="130"/>
      <c r="DQ89" s="131"/>
      <c r="DR89" s="129"/>
      <c r="DS89" s="130"/>
      <c r="DT89" s="130"/>
      <c r="DU89" s="130"/>
      <c r="DV89" s="130"/>
      <c r="DW89" s="131"/>
      <c r="DX89" s="129"/>
      <c r="DY89" s="130"/>
      <c r="DZ89" s="130"/>
      <c r="EA89" s="130"/>
      <c r="EB89" s="130"/>
      <c r="EC89" s="131"/>
      <c r="ED89" s="129"/>
      <c r="EE89" s="130"/>
      <c r="EF89" s="130"/>
      <c r="EG89" s="130"/>
      <c r="EH89" s="130"/>
      <c r="EI89" s="130"/>
      <c r="EJ89" s="129"/>
      <c r="EK89" s="130"/>
      <c r="EL89" s="130"/>
      <c r="EM89" s="130"/>
      <c r="EN89" s="130"/>
      <c r="EO89" s="130"/>
      <c r="EP89" s="130"/>
      <c r="EQ89" s="130"/>
      <c r="ER89" s="130"/>
      <c r="ES89" s="130"/>
      <c r="ET89" s="130"/>
      <c r="EU89" s="130"/>
      <c r="EV89" s="130"/>
      <c r="EW89" s="130"/>
      <c r="EX89" s="130"/>
      <c r="EY89" s="130"/>
      <c r="EZ89" s="133"/>
      <c r="FA89" s="132"/>
      <c r="FB89" s="132"/>
      <c r="FC89" s="132"/>
      <c r="FD89" s="132"/>
      <c r="FE89" s="132"/>
      <c r="FF89" s="129"/>
      <c r="FG89" s="130"/>
      <c r="FH89" s="130"/>
      <c r="FI89" s="130"/>
      <c r="FJ89" s="129"/>
      <c r="FK89" s="130"/>
      <c r="FL89" s="131"/>
      <c r="FM89" s="129"/>
    </row>
    <row r="90" spans="1:218">
      <c r="A90" s="95" t="s">
        <v>298</v>
      </c>
      <c r="B90" s="96" t="s">
        <v>302</v>
      </c>
      <c r="C90" s="95">
        <v>3</v>
      </c>
      <c r="D90" s="95">
        <f t="shared" si="5"/>
        <v>3</v>
      </c>
      <c r="E90" s="129"/>
      <c r="F90" s="130"/>
      <c r="G90" s="130"/>
      <c r="H90" s="130" t="s">
        <v>217</v>
      </c>
      <c r="I90" s="130"/>
      <c r="J90" s="130"/>
      <c r="K90" s="131"/>
      <c r="L90" s="129"/>
      <c r="M90" s="130"/>
      <c r="N90" s="130"/>
      <c r="O90" s="131"/>
      <c r="P90" s="129"/>
      <c r="Q90" s="130"/>
      <c r="R90" s="130"/>
      <c r="S90" s="130"/>
      <c r="T90" s="130"/>
      <c r="U90" s="131"/>
      <c r="V90" s="129"/>
      <c r="W90" s="130"/>
      <c r="X90" s="130"/>
      <c r="Y90" s="130"/>
      <c r="Z90" s="130"/>
      <c r="AA90" s="130"/>
      <c r="AB90" s="131"/>
      <c r="AC90" s="129"/>
      <c r="AD90" s="130"/>
      <c r="AE90" s="130"/>
      <c r="AF90" s="130"/>
      <c r="AG90" s="130"/>
      <c r="AH90" s="131"/>
      <c r="AI90" s="129"/>
      <c r="AJ90" s="130"/>
      <c r="AK90" s="130"/>
      <c r="AL90" s="130" t="s">
        <v>217</v>
      </c>
      <c r="AM90" s="130"/>
      <c r="AN90" s="130"/>
      <c r="AO90" s="131"/>
      <c r="AP90" s="129"/>
      <c r="AQ90" s="130"/>
      <c r="AR90" s="130"/>
      <c r="AS90" s="131"/>
      <c r="AT90" s="129"/>
      <c r="AU90" s="130"/>
      <c r="AV90" s="130"/>
      <c r="AW90" s="130"/>
      <c r="AX90" s="130"/>
      <c r="AY90" s="131"/>
      <c r="AZ90" s="129"/>
      <c r="BA90" s="130"/>
      <c r="BB90" s="130"/>
      <c r="BC90" s="130"/>
      <c r="BD90" s="130"/>
      <c r="BE90" s="130"/>
      <c r="BF90" s="131"/>
      <c r="BG90" s="129"/>
      <c r="BH90" s="130"/>
      <c r="BI90" s="130"/>
      <c r="BJ90" s="130"/>
      <c r="BK90" s="131"/>
      <c r="BL90" s="129"/>
      <c r="BM90" s="130" t="s">
        <v>217</v>
      </c>
      <c r="BN90" s="130"/>
      <c r="BO90" s="130"/>
      <c r="BP90" s="130"/>
      <c r="BQ90" s="130"/>
      <c r="BR90" s="130"/>
      <c r="BS90" s="131"/>
      <c r="BT90" s="132"/>
      <c r="BU90" s="132"/>
      <c r="BV90" s="132"/>
      <c r="BW90" s="132"/>
      <c r="BX90" s="132"/>
      <c r="BY90" s="129"/>
      <c r="BZ90" s="130"/>
      <c r="CA90" s="130"/>
      <c r="CB90" s="130"/>
      <c r="CC90" s="130"/>
      <c r="CD90" s="131"/>
      <c r="CE90" s="132"/>
      <c r="CF90" s="132"/>
      <c r="CG90" s="132"/>
      <c r="CH90" s="132"/>
      <c r="CI90" s="132"/>
      <c r="CJ90" s="129"/>
      <c r="CK90" s="130"/>
      <c r="CL90" s="131"/>
      <c r="CM90" s="132"/>
      <c r="CN90" s="132"/>
      <c r="CO90" s="132"/>
      <c r="CP90" s="129"/>
      <c r="CQ90" s="130"/>
      <c r="CR90" s="130"/>
      <c r="CS90" s="130"/>
      <c r="CT90" s="131"/>
      <c r="CU90" s="129"/>
      <c r="CV90" s="130"/>
      <c r="CW90" s="130"/>
      <c r="CX90" s="130"/>
      <c r="CY90" s="130"/>
      <c r="CZ90" s="131"/>
      <c r="DA90" s="129"/>
      <c r="DB90" s="130"/>
      <c r="DC90" s="130"/>
      <c r="DD90" s="130"/>
      <c r="DE90" s="131"/>
      <c r="DF90" s="129"/>
      <c r="DG90" s="130"/>
      <c r="DH90" s="130"/>
      <c r="DI90" s="130"/>
      <c r="DJ90" s="130"/>
      <c r="DK90" s="131"/>
      <c r="DL90" s="129"/>
      <c r="DM90" s="130"/>
      <c r="DN90" s="130"/>
      <c r="DO90" s="130"/>
      <c r="DP90" s="130"/>
      <c r="DQ90" s="131"/>
      <c r="DR90" s="129"/>
      <c r="DS90" s="130"/>
      <c r="DT90" s="130"/>
      <c r="DU90" s="130"/>
      <c r="DV90" s="130"/>
      <c r="DW90" s="131"/>
      <c r="DX90" s="129"/>
      <c r="DY90" s="130"/>
      <c r="DZ90" s="130"/>
      <c r="EA90" s="130"/>
      <c r="EB90" s="130"/>
      <c r="EC90" s="131"/>
      <c r="ED90" s="129"/>
      <c r="EE90" s="130"/>
      <c r="EF90" s="130"/>
      <c r="EG90" s="130"/>
      <c r="EH90" s="130"/>
      <c r="EI90" s="130"/>
      <c r="EJ90" s="129"/>
      <c r="EK90" s="130"/>
      <c r="EL90" s="130"/>
      <c r="EM90" s="130"/>
      <c r="EN90" s="130"/>
      <c r="EO90" s="130"/>
      <c r="EP90" s="130"/>
      <c r="EQ90" s="130"/>
      <c r="ER90" s="130"/>
      <c r="ES90" s="130"/>
      <c r="ET90" s="130"/>
      <c r="EU90" s="130"/>
      <c r="EV90" s="130"/>
      <c r="EW90" s="130"/>
      <c r="EX90" s="130"/>
      <c r="EY90" s="130"/>
      <c r="EZ90" s="133"/>
      <c r="FA90" s="132"/>
      <c r="FB90" s="132"/>
      <c r="FC90" s="132"/>
      <c r="FD90" s="132"/>
      <c r="FE90" s="132"/>
      <c r="FF90" s="129"/>
      <c r="FG90" s="130"/>
      <c r="FH90" s="130"/>
      <c r="FI90" s="130"/>
      <c r="FJ90" s="129"/>
      <c r="FK90" s="130"/>
      <c r="FL90" s="131"/>
      <c r="FM90" s="129"/>
    </row>
    <row r="91" spans="1:218">
      <c r="B91" s="96" t="s">
        <v>303</v>
      </c>
      <c r="D91" s="95">
        <f t="shared" si="5"/>
        <v>1</v>
      </c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I91" s="95"/>
      <c r="AJ91" s="95"/>
      <c r="AK91" s="95"/>
      <c r="AL91" s="95"/>
      <c r="AM91" s="95"/>
      <c r="AN91" s="95"/>
      <c r="AO91" s="95"/>
      <c r="AP91" s="95"/>
      <c r="AQ91" s="95"/>
      <c r="AR91" s="95"/>
      <c r="AS91" s="95"/>
      <c r="AT91" s="95"/>
      <c r="AU91" s="95"/>
      <c r="AV91" s="95"/>
      <c r="AW91" s="95"/>
      <c r="AX91" s="95"/>
      <c r="AY91" s="95"/>
      <c r="AZ91" s="95"/>
      <c r="BA91" s="95"/>
      <c r="BB91" s="95"/>
      <c r="BC91" s="95"/>
      <c r="BD91" s="95"/>
      <c r="BE91" s="95"/>
      <c r="BF91" s="95"/>
      <c r="BG91" s="95"/>
      <c r="BH91" s="95"/>
      <c r="BI91" s="95"/>
      <c r="BJ91" s="95"/>
      <c r="BK91" s="95"/>
      <c r="BL91" s="95"/>
      <c r="BM91" s="95"/>
      <c r="BN91" s="95"/>
      <c r="BO91" s="95"/>
      <c r="BP91" s="95"/>
      <c r="BQ91" s="95"/>
      <c r="BR91" s="95"/>
      <c r="BS91" s="95"/>
      <c r="BY91" s="95"/>
      <c r="BZ91" s="95"/>
      <c r="CA91" s="95"/>
      <c r="CB91" s="95"/>
      <c r="CC91" s="95"/>
      <c r="CD91" s="95"/>
      <c r="CJ91" s="95"/>
      <c r="CK91" s="95"/>
      <c r="CL91" s="95"/>
      <c r="CP91" s="95"/>
      <c r="CQ91" s="95"/>
      <c r="CR91" s="95"/>
      <c r="CS91" s="95"/>
      <c r="CT91" s="95"/>
      <c r="CU91" s="95"/>
      <c r="CV91" s="95"/>
      <c r="CW91" s="95"/>
      <c r="CX91" s="95"/>
      <c r="CY91" s="95"/>
      <c r="CZ91" s="95"/>
      <c r="DA91" s="95"/>
      <c r="DB91" s="95"/>
      <c r="DC91" s="95"/>
      <c r="DD91" s="95"/>
      <c r="DE91" s="95"/>
      <c r="DF91" s="95"/>
      <c r="DG91" s="95"/>
      <c r="DH91" s="95"/>
      <c r="DI91" s="95"/>
      <c r="DJ91" s="95"/>
      <c r="DK91" s="95"/>
      <c r="DL91" s="95"/>
      <c r="DM91" s="95"/>
      <c r="DN91" s="130" t="s">
        <v>149</v>
      </c>
      <c r="DO91" s="130"/>
      <c r="DP91" s="130"/>
      <c r="DQ91" s="131"/>
      <c r="DR91" s="129"/>
      <c r="DS91" s="130"/>
      <c r="DT91" s="130"/>
      <c r="DU91" s="130"/>
      <c r="DV91" s="130"/>
      <c r="DW91" s="131"/>
      <c r="DX91" s="129"/>
      <c r="DY91" s="130"/>
      <c r="DZ91" s="130"/>
      <c r="EA91" s="130"/>
      <c r="EB91" s="130"/>
      <c r="EC91" s="131"/>
      <c r="ED91" s="129"/>
      <c r="EE91" s="130"/>
      <c r="EF91" s="130"/>
      <c r="EG91" s="130"/>
      <c r="EH91" s="130"/>
      <c r="EI91" s="130"/>
      <c r="EJ91" s="129"/>
      <c r="EK91" s="130"/>
      <c r="EL91" s="130"/>
      <c r="EM91" s="130"/>
      <c r="EN91" s="130"/>
      <c r="EO91" s="130"/>
      <c r="EP91" s="130"/>
      <c r="EQ91" s="130"/>
      <c r="ER91" s="130"/>
      <c r="ES91" s="130"/>
      <c r="ET91" s="130"/>
      <c r="EU91" s="130"/>
      <c r="EV91" s="130"/>
      <c r="EW91" s="130"/>
      <c r="EX91" s="130"/>
      <c r="EY91" s="130"/>
      <c r="EZ91" s="133"/>
      <c r="FA91" s="132"/>
      <c r="FB91" s="132"/>
      <c r="FC91" s="132"/>
      <c r="FD91" s="132"/>
      <c r="FE91" s="132"/>
      <c r="FF91" s="129"/>
      <c r="FG91" s="130"/>
      <c r="FH91" s="130"/>
      <c r="FI91" s="130"/>
      <c r="FJ91" s="129"/>
      <c r="FK91" s="130"/>
      <c r="FL91" s="131"/>
      <c r="FM91" s="129"/>
    </row>
    <row r="92" spans="1:218">
      <c r="A92" s="95" t="s">
        <v>304</v>
      </c>
      <c r="B92" s="96" t="s">
        <v>305</v>
      </c>
      <c r="D92" s="95">
        <f t="shared" si="5"/>
        <v>8</v>
      </c>
      <c r="E92" s="129"/>
      <c r="F92" s="130"/>
      <c r="G92" s="130"/>
      <c r="H92" s="130"/>
      <c r="I92" s="130"/>
      <c r="J92" s="130"/>
      <c r="K92" s="131"/>
      <c r="L92" s="129"/>
      <c r="M92" s="130"/>
      <c r="N92" s="130"/>
      <c r="O92" s="131"/>
      <c r="P92" s="129"/>
      <c r="Q92" s="130"/>
      <c r="R92" s="130"/>
      <c r="S92" s="130"/>
      <c r="T92" s="130"/>
      <c r="U92" s="131"/>
      <c r="V92" s="129"/>
      <c r="W92" s="130"/>
      <c r="X92" s="130"/>
      <c r="Y92" s="130"/>
      <c r="Z92" s="130"/>
      <c r="AA92" s="130"/>
      <c r="AB92" s="131"/>
      <c r="AC92" s="129"/>
      <c r="AD92" s="130"/>
      <c r="AE92" s="130"/>
      <c r="AF92" s="130"/>
      <c r="AG92" s="130"/>
      <c r="AH92" s="131"/>
      <c r="AI92" s="129"/>
      <c r="AJ92" s="130"/>
      <c r="AK92" s="130"/>
      <c r="AL92" s="130"/>
      <c r="AM92" s="130"/>
      <c r="AN92" s="130"/>
      <c r="AO92" s="131"/>
      <c r="AP92" s="129"/>
      <c r="AQ92" s="130"/>
      <c r="AR92" s="130"/>
      <c r="AS92" s="131"/>
      <c r="AT92" s="129"/>
      <c r="AU92" s="130"/>
      <c r="AV92" s="130"/>
      <c r="AW92" s="130"/>
      <c r="AX92" s="130"/>
      <c r="AY92" s="131"/>
      <c r="AZ92" s="129"/>
      <c r="BA92" s="130"/>
      <c r="BB92" s="130"/>
      <c r="BC92" s="130"/>
      <c r="BD92" s="130"/>
      <c r="BE92" s="130"/>
      <c r="BF92" s="131"/>
      <c r="BG92" s="129"/>
      <c r="BH92" s="130"/>
      <c r="BI92" s="130"/>
      <c r="BJ92" s="130"/>
      <c r="BK92" s="131"/>
      <c r="BL92" s="129"/>
      <c r="BM92" s="130"/>
      <c r="BN92" s="130"/>
      <c r="BO92" s="130"/>
      <c r="BP92" s="130"/>
      <c r="BQ92" s="130"/>
      <c r="BR92" s="130"/>
      <c r="BS92" s="131"/>
      <c r="BT92" s="132"/>
      <c r="BU92" s="132"/>
      <c r="BV92" s="132"/>
      <c r="BW92" s="132"/>
      <c r="BX92" s="132"/>
      <c r="BY92" s="129"/>
      <c r="BZ92" s="130"/>
      <c r="CA92" s="130"/>
      <c r="CB92" s="130"/>
      <c r="CC92" s="130"/>
      <c r="CD92" s="131"/>
      <c r="CE92" s="132"/>
      <c r="CF92" s="132"/>
      <c r="CG92" s="132"/>
      <c r="CH92" s="132"/>
      <c r="CI92" s="132"/>
      <c r="CJ92" s="129"/>
      <c r="CK92" s="130"/>
      <c r="CL92" s="131"/>
      <c r="CM92" s="132"/>
      <c r="CN92" s="132"/>
      <c r="CO92" s="132"/>
      <c r="CP92" s="129"/>
      <c r="CQ92" s="130"/>
      <c r="CR92" s="130"/>
      <c r="CS92" s="130"/>
      <c r="CT92" s="131"/>
      <c r="CU92" s="129"/>
      <c r="CV92" s="130"/>
      <c r="CW92" s="130"/>
      <c r="CX92" s="130"/>
      <c r="CY92" s="130"/>
      <c r="CZ92" s="131"/>
      <c r="DA92" s="129"/>
      <c r="DB92" s="130"/>
      <c r="DC92" s="130"/>
      <c r="DD92" s="130"/>
      <c r="DE92" s="131"/>
      <c r="DF92" s="129"/>
      <c r="DG92" s="130"/>
      <c r="DH92" s="130"/>
      <c r="DI92" s="130"/>
      <c r="DJ92" s="130"/>
      <c r="DK92" s="131"/>
      <c r="DL92" s="129"/>
      <c r="DM92" s="130"/>
      <c r="DN92" s="130"/>
      <c r="DO92" s="130"/>
      <c r="DP92" s="130"/>
      <c r="DQ92" s="131"/>
      <c r="DR92" s="129"/>
      <c r="DS92" s="130"/>
      <c r="DT92" s="130"/>
      <c r="DU92" s="130"/>
      <c r="DV92" s="130"/>
      <c r="DW92" s="131"/>
      <c r="DX92" s="129"/>
      <c r="DY92" s="130"/>
      <c r="DZ92" s="130"/>
      <c r="EA92" s="130"/>
      <c r="EB92" s="130"/>
      <c r="EC92" s="131"/>
      <c r="ED92" s="129"/>
      <c r="EE92" s="130"/>
      <c r="EF92" s="130"/>
      <c r="EG92" s="130"/>
      <c r="EH92" s="130"/>
      <c r="EI92" s="130"/>
      <c r="EJ92" s="129"/>
      <c r="EK92" s="130"/>
      <c r="EL92" s="130"/>
      <c r="EM92" s="130"/>
      <c r="EN92" s="130"/>
      <c r="EO92" s="130"/>
      <c r="EP92" s="130"/>
      <c r="EQ92" s="130"/>
      <c r="ER92" s="130"/>
      <c r="ES92" s="130"/>
      <c r="ET92" s="130"/>
      <c r="EU92" s="130"/>
      <c r="EV92" s="130"/>
      <c r="EW92" s="130"/>
      <c r="EX92" s="130"/>
      <c r="EY92" s="130"/>
      <c r="EZ92" s="133"/>
      <c r="FA92" s="132"/>
      <c r="FB92" s="132"/>
      <c r="FC92" s="132"/>
      <c r="FD92" s="132"/>
      <c r="FE92" s="132"/>
      <c r="FF92" s="129"/>
      <c r="FG92" s="130"/>
      <c r="FH92" s="130"/>
      <c r="FI92" s="130"/>
      <c r="FJ92" s="129"/>
      <c r="FK92" s="130"/>
      <c r="FL92" s="131"/>
      <c r="FM92" s="129"/>
      <c r="GZ92" s="99" t="s">
        <v>149</v>
      </c>
      <c r="HA92" s="97" t="s">
        <v>149</v>
      </c>
      <c r="HB92" s="97" t="s">
        <v>149</v>
      </c>
      <c r="HC92" s="97" t="s">
        <v>149</v>
      </c>
      <c r="HD92" s="97" t="s">
        <v>149</v>
      </c>
      <c r="HE92" s="97" t="s">
        <v>149</v>
      </c>
      <c r="HG92" s="97" t="s">
        <v>149</v>
      </c>
      <c r="HJ92" s="97" t="s">
        <v>149</v>
      </c>
    </row>
    <row r="93" spans="1:218" ht="30">
      <c r="A93" s="95" t="s">
        <v>306</v>
      </c>
      <c r="B93" s="96" t="s">
        <v>307</v>
      </c>
      <c r="D93" s="95">
        <f t="shared" si="5"/>
        <v>1</v>
      </c>
      <c r="E93" s="129"/>
      <c r="F93" s="130"/>
      <c r="G93" s="130"/>
      <c r="H93" s="130"/>
      <c r="I93" s="130"/>
      <c r="J93" s="130"/>
      <c r="K93" s="131"/>
      <c r="L93" s="129"/>
      <c r="M93" s="130"/>
      <c r="N93" s="130"/>
      <c r="O93" s="131"/>
      <c r="P93" s="129"/>
      <c r="Q93" s="130"/>
      <c r="R93" s="130" t="s">
        <v>217</v>
      </c>
      <c r="S93" s="130"/>
      <c r="T93" s="130"/>
      <c r="U93" s="131"/>
      <c r="V93" s="129"/>
      <c r="W93" s="130"/>
      <c r="X93" s="130"/>
      <c r="Y93" s="130"/>
      <c r="Z93" s="130"/>
      <c r="AA93" s="130"/>
      <c r="AB93" s="131"/>
      <c r="AC93" s="129"/>
      <c r="AD93" s="130"/>
      <c r="AE93" s="130"/>
      <c r="AF93" s="130"/>
      <c r="AG93" s="130"/>
      <c r="AH93" s="131"/>
      <c r="AI93" s="129"/>
      <c r="AJ93" s="130"/>
      <c r="AK93" s="130"/>
      <c r="AL93" s="130"/>
      <c r="AM93" s="130"/>
      <c r="AN93" s="130"/>
      <c r="AO93" s="131"/>
      <c r="AP93" s="129"/>
      <c r="AQ93" s="130"/>
      <c r="AR93" s="130"/>
      <c r="AS93" s="131"/>
      <c r="AT93" s="129"/>
      <c r="AU93" s="130"/>
      <c r="AV93" s="130"/>
      <c r="AW93" s="130"/>
      <c r="AX93" s="130"/>
      <c r="AY93" s="131"/>
      <c r="AZ93" s="129"/>
      <c r="BA93" s="130"/>
      <c r="BB93" s="130"/>
      <c r="BC93" s="130"/>
      <c r="BD93" s="130"/>
      <c r="BE93" s="130"/>
      <c r="BF93" s="131"/>
      <c r="BG93" s="129"/>
      <c r="BH93" s="130"/>
      <c r="BI93" s="130"/>
      <c r="BJ93" s="130"/>
      <c r="BK93" s="131"/>
      <c r="BL93" s="129"/>
      <c r="BM93" s="130"/>
      <c r="BN93" s="130"/>
      <c r="BO93" s="130"/>
      <c r="BP93" s="130"/>
      <c r="BQ93" s="130"/>
      <c r="BR93" s="130"/>
      <c r="BS93" s="131"/>
      <c r="BT93" s="132"/>
      <c r="BU93" s="132"/>
      <c r="BV93" s="132"/>
      <c r="BW93" s="132"/>
      <c r="BX93" s="132"/>
      <c r="BY93" s="129"/>
      <c r="BZ93" s="130"/>
      <c r="CA93" s="130"/>
      <c r="CB93" s="130"/>
      <c r="CC93" s="130"/>
      <c r="CD93" s="131"/>
      <c r="CE93" s="132"/>
      <c r="CF93" s="132"/>
      <c r="CG93" s="132"/>
      <c r="CH93" s="132"/>
      <c r="CI93" s="132"/>
      <c r="CJ93" s="129"/>
      <c r="CK93" s="130"/>
      <c r="CL93" s="131"/>
      <c r="CM93" s="132"/>
      <c r="CN93" s="132"/>
      <c r="CO93" s="132"/>
      <c r="CP93" s="129"/>
      <c r="CQ93" s="130"/>
      <c r="CR93" s="130"/>
      <c r="CS93" s="130"/>
      <c r="CT93" s="131"/>
      <c r="CU93" s="129"/>
      <c r="CV93" s="130"/>
      <c r="CW93" s="130"/>
      <c r="CX93" s="130"/>
      <c r="CY93" s="130"/>
      <c r="CZ93" s="131"/>
      <c r="DA93" s="129"/>
      <c r="DB93" s="130"/>
      <c r="DC93" s="130"/>
      <c r="DD93" s="130"/>
      <c r="DE93" s="131"/>
      <c r="DF93" s="129"/>
      <c r="DG93" s="130"/>
      <c r="DH93" s="130"/>
      <c r="DI93" s="130"/>
      <c r="DJ93" s="130"/>
      <c r="DK93" s="131"/>
      <c r="DL93" s="129"/>
      <c r="DM93" s="130"/>
      <c r="DN93" s="130"/>
      <c r="DO93" s="130"/>
      <c r="DP93" s="130"/>
      <c r="DQ93" s="131"/>
      <c r="DR93" s="129"/>
      <c r="DS93" s="130"/>
      <c r="DT93" s="130"/>
      <c r="DU93" s="130"/>
      <c r="DV93" s="130"/>
      <c r="DW93" s="131"/>
      <c r="DX93" s="129"/>
      <c r="DY93" s="130"/>
      <c r="DZ93" s="130"/>
      <c r="EA93" s="130"/>
      <c r="EB93" s="130"/>
      <c r="EC93" s="131"/>
      <c r="ED93" s="129"/>
      <c r="EE93" s="130"/>
      <c r="EF93" s="130"/>
      <c r="EG93" s="130"/>
      <c r="EH93" s="130"/>
      <c r="EI93" s="130"/>
      <c r="EJ93" s="129"/>
      <c r="EK93" s="130"/>
      <c r="EL93" s="130"/>
      <c r="EM93" s="130"/>
      <c r="EN93" s="130"/>
      <c r="EO93" s="130"/>
      <c r="EP93" s="130"/>
      <c r="EQ93" s="130"/>
      <c r="ER93" s="130"/>
      <c r="ES93" s="130"/>
      <c r="ET93" s="130"/>
      <c r="EU93" s="130"/>
      <c r="EV93" s="130"/>
      <c r="EW93" s="130"/>
      <c r="EX93" s="130"/>
      <c r="EY93" s="130"/>
      <c r="EZ93" s="133"/>
      <c r="FA93" s="132"/>
      <c r="FB93" s="132"/>
      <c r="FC93" s="132"/>
      <c r="FD93" s="132"/>
      <c r="FE93" s="132"/>
      <c r="FF93" s="129"/>
      <c r="FG93" s="130"/>
      <c r="FH93" s="130"/>
      <c r="FI93" s="130"/>
      <c r="FJ93" s="129"/>
      <c r="FK93" s="130"/>
      <c r="FL93" s="131"/>
      <c r="FM93" s="129"/>
    </row>
    <row r="94" spans="1:218">
      <c r="A94" s="95" t="s">
        <v>306</v>
      </c>
      <c r="B94" s="96" t="s">
        <v>308</v>
      </c>
      <c r="D94" s="95">
        <f t="shared" si="5"/>
        <v>7</v>
      </c>
      <c r="E94" s="129"/>
      <c r="F94" s="130"/>
      <c r="G94" s="130"/>
      <c r="H94" s="130"/>
      <c r="I94" s="130"/>
      <c r="J94" s="130"/>
      <c r="K94" s="131"/>
      <c r="L94" s="129"/>
      <c r="M94" s="130"/>
      <c r="N94" s="130"/>
      <c r="O94" s="131"/>
      <c r="P94" s="129"/>
      <c r="Q94" s="130"/>
      <c r="R94" s="130"/>
      <c r="S94" s="130"/>
      <c r="T94" s="130"/>
      <c r="U94" s="131"/>
      <c r="V94" s="129" t="s">
        <v>149</v>
      </c>
      <c r="W94" s="130"/>
      <c r="X94" s="130"/>
      <c r="Y94" s="130"/>
      <c r="Z94" s="130"/>
      <c r="AA94" s="130"/>
      <c r="AB94" s="131"/>
      <c r="AC94" s="129" t="s">
        <v>149</v>
      </c>
      <c r="AD94" s="130"/>
      <c r="AE94" s="130"/>
      <c r="AF94" s="130"/>
      <c r="AG94" s="130"/>
      <c r="AH94" s="131"/>
      <c r="AI94" s="129"/>
      <c r="AJ94" s="130"/>
      <c r="AK94" s="130" t="s">
        <v>217</v>
      </c>
      <c r="AL94" s="130"/>
      <c r="AM94" s="130"/>
      <c r="AN94" s="130"/>
      <c r="AO94" s="131"/>
      <c r="AP94" s="129"/>
      <c r="AQ94" s="130"/>
      <c r="AR94" s="130" t="s">
        <v>217</v>
      </c>
      <c r="AS94" s="131"/>
      <c r="AT94" s="129" t="s">
        <v>149</v>
      </c>
      <c r="AU94" s="130"/>
      <c r="AV94" s="130"/>
      <c r="AW94" s="130"/>
      <c r="AX94" s="130"/>
      <c r="AY94" s="131"/>
      <c r="AZ94" s="129" t="s">
        <v>149</v>
      </c>
      <c r="BA94" s="130"/>
      <c r="BB94" s="130"/>
      <c r="BC94" s="130"/>
      <c r="BD94" s="130"/>
      <c r="BE94" s="130"/>
      <c r="BF94" s="131"/>
      <c r="BG94" s="129" t="s">
        <v>217</v>
      </c>
      <c r="BH94" s="130"/>
      <c r="BI94" s="130"/>
      <c r="BJ94" s="130"/>
      <c r="BK94" s="131"/>
      <c r="BL94" s="129"/>
      <c r="BM94" s="130"/>
      <c r="BN94" s="130"/>
      <c r="BO94" s="130"/>
      <c r="BP94" s="130"/>
      <c r="BQ94" s="130"/>
      <c r="BR94" s="130"/>
      <c r="BS94" s="131"/>
      <c r="BT94" s="132"/>
      <c r="BU94" s="132"/>
      <c r="BV94" s="132"/>
      <c r="BW94" s="132"/>
      <c r="BX94" s="132"/>
      <c r="BY94" s="129"/>
      <c r="BZ94" s="130"/>
      <c r="CA94" s="130"/>
      <c r="CB94" s="130"/>
      <c r="CC94" s="130"/>
      <c r="CD94" s="131"/>
      <c r="CE94" s="132"/>
      <c r="CF94" s="132"/>
      <c r="CG94" s="132"/>
      <c r="CH94" s="132"/>
      <c r="CI94" s="132"/>
      <c r="CJ94" s="129"/>
      <c r="CK94" s="130"/>
      <c r="CL94" s="131"/>
      <c r="CM94" s="132"/>
      <c r="CN94" s="132"/>
      <c r="CO94" s="132"/>
      <c r="CP94" s="129"/>
      <c r="CQ94" s="130"/>
      <c r="CR94" s="130"/>
      <c r="CS94" s="130"/>
      <c r="CT94" s="131"/>
      <c r="CU94" s="129"/>
      <c r="CV94" s="130"/>
      <c r="CW94" s="130"/>
      <c r="CX94" s="130"/>
      <c r="CY94" s="130"/>
      <c r="CZ94" s="131"/>
      <c r="DA94" s="129"/>
      <c r="DB94" s="130"/>
      <c r="DC94" s="130"/>
      <c r="DD94" s="130"/>
      <c r="DE94" s="131"/>
      <c r="DF94" s="129"/>
      <c r="DG94" s="130"/>
      <c r="DH94" s="130"/>
      <c r="DI94" s="130"/>
      <c r="DJ94" s="130"/>
      <c r="DK94" s="131"/>
      <c r="DL94" s="129"/>
      <c r="DM94" s="130"/>
      <c r="DN94" s="130"/>
      <c r="DO94" s="130"/>
      <c r="DP94" s="130"/>
      <c r="DQ94" s="131"/>
      <c r="DR94" s="129"/>
      <c r="DS94" s="130"/>
      <c r="DT94" s="130"/>
      <c r="DU94" s="130"/>
      <c r="DV94" s="130"/>
      <c r="DW94" s="131"/>
      <c r="DX94" s="129"/>
      <c r="DY94" s="130"/>
      <c r="DZ94" s="130"/>
      <c r="EA94" s="130"/>
      <c r="EB94" s="130"/>
      <c r="EC94" s="131"/>
      <c r="ED94" s="129"/>
      <c r="EE94" s="130"/>
      <c r="EF94" s="130"/>
      <c r="EG94" s="130"/>
      <c r="EH94" s="130"/>
      <c r="EI94" s="130"/>
      <c r="EJ94" s="129"/>
      <c r="EK94" s="130"/>
      <c r="EL94" s="130"/>
      <c r="EM94" s="130"/>
      <c r="EN94" s="130"/>
      <c r="EO94" s="130"/>
      <c r="EP94" s="130"/>
      <c r="EQ94" s="130"/>
      <c r="ER94" s="130"/>
      <c r="ES94" s="130"/>
      <c r="ET94" s="130"/>
      <c r="EU94" s="130"/>
      <c r="EV94" s="130"/>
      <c r="EW94" s="130"/>
      <c r="EX94" s="130"/>
      <c r="EY94" s="130"/>
      <c r="EZ94" s="133"/>
      <c r="FA94" s="132"/>
      <c r="FB94" s="132"/>
      <c r="FC94" s="132"/>
      <c r="FD94" s="132"/>
      <c r="FE94" s="132"/>
      <c r="FF94" s="129"/>
      <c r="FG94" s="130"/>
      <c r="FH94" s="130"/>
      <c r="FI94" s="130"/>
      <c r="FJ94" s="129"/>
      <c r="FK94" s="130"/>
      <c r="FL94" s="131"/>
      <c r="FM94" s="129"/>
    </row>
    <row r="95" spans="1:218" ht="30">
      <c r="A95" s="95" t="s">
        <v>306</v>
      </c>
      <c r="B95" s="96" t="s">
        <v>309</v>
      </c>
      <c r="C95" s="95">
        <v>4</v>
      </c>
      <c r="D95" s="95">
        <f t="shared" si="5"/>
        <v>1</v>
      </c>
      <c r="E95" s="129"/>
      <c r="F95" s="130"/>
      <c r="G95" s="130"/>
      <c r="H95" s="130"/>
      <c r="I95" s="130"/>
      <c r="J95" s="130"/>
      <c r="K95" s="131" t="s">
        <v>149</v>
      </c>
      <c r="L95" s="129"/>
      <c r="M95" s="130"/>
      <c r="N95" s="130"/>
      <c r="O95" s="131"/>
      <c r="P95" s="129"/>
      <c r="Q95" s="130"/>
      <c r="R95" s="130"/>
      <c r="S95" s="130"/>
      <c r="T95" s="130"/>
      <c r="U95" s="131"/>
      <c r="V95" s="129"/>
      <c r="W95" s="130"/>
      <c r="X95" s="130"/>
      <c r="Y95" s="130"/>
      <c r="Z95" s="130"/>
      <c r="AA95" s="130"/>
      <c r="AB95" s="131"/>
      <c r="AC95" s="129"/>
      <c r="AD95" s="130"/>
      <c r="AE95" s="130"/>
      <c r="AF95" s="130"/>
      <c r="AG95" s="130"/>
      <c r="AH95" s="131"/>
      <c r="AI95" s="129"/>
      <c r="AJ95" s="130"/>
      <c r="AK95" s="130"/>
      <c r="AL95" s="130"/>
      <c r="AM95" s="130"/>
      <c r="AN95" s="130"/>
      <c r="AO95" s="131"/>
      <c r="AP95" s="129"/>
      <c r="AQ95" s="130"/>
      <c r="AR95" s="130"/>
      <c r="AS95" s="131"/>
      <c r="AT95" s="129"/>
      <c r="AU95" s="130"/>
      <c r="AV95" s="130"/>
      <c r="AW95" s="130"/>
      <c r="AX95" s="130"/>
      <c r="AY95" s="131"/>
      <c r="AZ95" s="129"/>
      <c r="BA95" s="130"/>
      <c r="BB95" s="130"/>
      <c r="BC95" s="130"/>
      <c r="BD95" s="130"/>
      <c r="BE95" s="130"/>
      <c r="BF95" s="131"/>
      <c r="BG95" s="129"/>
      <c r="BH95" s="130"/>
      <c r="BI95" s="130"/>
      <c r="BJ95" s="130"/>
      <c r="BK95" s="131"/>
      <c r="BL95" s="129"/>
      <c r="BM95" s="130"/>
      <c r="BN95" s="130"/>
      <c r="BO95" s="130"/>
      <c r="BP95" s="130"/>
      <c r="BQ95" s="130"/>
      <c r="BR95" s="130"/>
      <c r="BS95" s="131"/>
      <c r="BT95" s="132"/>
      <c r="BU95" s="132"/>
      <c r="BV95" s="132"/>
      <c r="BW95" s="132"/>
      <c r="BX95" s="132"/>
      <c r="BY95" s="129"/>
      <c r="BZ95" s="130"/>
      <c r="CA95" s="130"/>
      <c r="CB95" s="130"/>
      <c r="CC95" s="130"/>
      <c r="CD95" s="131"/>
      <c r="CE95" s="132"/>
      <c r="CF95" s="132"/>
      <c r="CG95" s="132"/>
      <c r="CH95" s="132"/>
      <c r="CI95" s="132"/>
      <c r="CJ95" s="129"/>
      <c r="CK95" s="130"/>
      <c r="CL95" s="131"/>
      <c r="CM95" s="132"/>
      <c r="CN95" s="132"/>
      <c r="CO95" s="132"/>
      <c r="CP95" s="129"/>
      <c r="CQ95" s="130"/>
      <c r="CR95" s="130"/>
      <c r="CS95" s="130"/>
      <c r="CT95" s="131"/>
      <c r="CU95" s="129"/>
      <c r="CV95" s="130"/>
      <c r="CW95" s="130"/>
      <c r="CX95" s="130"/>
      <c r="CY95" s="130"/>
      <c r="CZ95" s="131"/>
      <c r="DA95" s="129"/>
      <c r="DB95" s="130"/>
      <c r="DC95" s="130"/>
      <c r="DD95" s="130"/>
      <c r="DE95" s="131"/>
      <c r="DF95" s="129"/>
      <c r="DG95" s="130"/>
      <c r="DH95" s="130"/>
      <c r="DI95" s="130"/>
      <c r="DJ95" s="130"/>
      <c r="DK95" s="131"/>
      <c r="DL95" s="129"/>
      <c r="DM95" s="130"/>
      <c r="DN95" s="130"/>
      <c r="DO95" s="130"/>
      <c r="DP95" s="130"/>
      <c r="DQ95" s="131"/>
      <c r="DR95" s="129"/>
      <c r="DS95" s="130"/>
      <c r="DT95" s="130"/>
      <c r="DU95" s="130"/>
      <c r="DV95" s="130"/>
      <c r="DW95" s="131"/>
      <c r="DX95" s="129"/>
      <c r="DY95" s="130"/>
      <c r="DZ95" s="130"/>
      <c r="EA95" s="130"/>
      <c r="EB95" s="130"/>
      <c r="EC95" s="131"/>
      <c r="ED95" s="129"/>
      <c r="EE95" s="130"/>
      <c r="EF95" s="130"/>
      <c r="EG95" s="130"/>
      <c r="EH95" s="130"/>
      <c r="EI95" s="130"/>
      <c r="EJ95" s="129"/>
      <c r="EK95" s="130"/>
      <c r="EL95" s="130"/>
      <c r="EM95" s="130"/>
      <c r="EN95" s="130"/>
      <c r="EO95" s="130"/>
      <c r="EP95" s="130"/>
      <c r="EQ95" s="130"/>
      <c r="ER95" s="130"/>
      <c r="ES95" s="130"/>
      <c r="ET95" s="130"/>
      <c r="EU95" s="130"/>
      <c r="EV95" s="130"/>
      <c r="EW95" s="130"/>
      <c r="EX95" s="130"/>
      <c r="EY95" s="130"/>
      <c r="EZ95" s="133"/>
      <c r="FA95" s="132"/>
      <c r="FB95" s="132"/>
      <c r="FC95" s="132"/>
      <c r="FD95" s="132"/>
      <c r="FE95" s="132"/>
      <c r="FF95" s="129"/>
      <c r="FG95" s="130"/>
      <c r="FH95" s="130"/>
      <c r="FI95" s="130"/>
      <c r="FJ95" s="129"/>
      <c r="FK95" s="130"/>
      <c r="FL95" s="131"/>
      <c r="FM95" s="129"/>
    </row>
    <row r="96" spans="1:218">
      <c r="A96" s="95" t="s">
        <v>234</v>
      </c>
      <c r="B96" s="96" t="s">
        <v>444</v>
      </c>
      <c r="C96" s="134"/>
      <c r="D96" s="95">
        <f t="shared" si="5"/>
        <v>1</v>
      </c>
      <c r="E96" s="129"/>
      <c r="F96" s="130"/>
      <c r="G96" s="130"/>
      <c r="H96" s="130"/>
      <c r="I96" s="130"/>
      <c r="J96" s="130"/>
      <c r="K96" s="131"/>
      <c r="L96" s="129"/>
      <c r="M96" s="130"/>
      <c r="N96" s="130"/>
      <c r="O96" s="131"/>
      <c r="P96" s="129"/>
      <c r="Q96" s="130"/>
      <c r="R96" s="130"/>
      <c r="S96" s="130"/>
      <c r="T96" s="130"/>
      <c r="U96" s="131"/>
      <c r="V96" s="129"/>
      <c r="W96" s="130"/>
      <c r="X96" s="130"/>
      <c r="Y96" s="130"/>
      <c r="Z96" s="130"/>
      <c r="AA96" s="130"/>
      <c r="AB96" s="131"/>
      <c r="AC96" s="129"/>
      <c r="AD96" s="130"/>
      <c r="AE96" s="130"/>
      <c r="AF96" s="130"/>
      <c r="AG96" s="130"/>
      <c r="AH96" s="131"/>
      <c r="AI96" s="129"/>
      <c r="AJ96" s="130"/>
      <c r="AK96" s="130"/>
      <c r="AL96" s="130"/>
      <c r="AM96" s="130"/>
      <c r="AN96" s="130"/>
      <c r="AO96" s="131"/>
      <c r="AP96" s="129"/>
      <c r="AQ96" s="130"/>
      <c r="AR96" s="130"/>
      <c r="AS96" s="131"/>
      <c r="AT96" s="129"/>
      <c r="AU96" s="130"/>
      <c r="AV96" s="130"/>
      <c r="AW96" s="130"/>
      <c r="AX96" s="130"/>
      <c r="AY96" s="131"/>
      <c r="AZ96" s="129"/>
      <c r="BA96" s="130"/>
      <c r="BB96" s="130"/>
      <c r="BC96" s="130"/>
      <c r="BD96" s="130"/>
      <c r="BE96" s="130"/>
      <c r="BF96" s="131"/>
      <c r="BG96" s="129"/>
      <c r="BH96" s="130"/>
      <c r="BI96" s="130"/>
      <c r="BJ96" s="130"/>
      <c r="BK96" s="131"/>
      <c r="BL96" s="129"/>
      <c r="BM96" s="130"/>
      <c r="BN96" s="130"/>
      <c r="BO96" s="130"/>
      <c r="BP96" s="130"/>
      <c r="BQ96" s="130"/>
      <c r="BR96" s="130"/>
      <c r="BS96" s="131"/>
      <c r="BT96" s="132"/>
      <c r="BU96" s="132"/>
      <c r="BV96" s="132"/>
      <c r="BW96" s="132"/>
      <c r="BX96" s="132"/>
      <c r="BY96" s="129"/>
      <c r="BZ96" s="130"/>
      <c r="CA96" s="130"/>
      <c r="CB96" s="130"/>
      <c r="CC96" s="130"/>
      <c r="CD96" s="131"/>
      <c r="CE96" s="132"/>
      <c r="CF96" s="132"/>
      <c r="CG96" s="132"/>
      <c r="CH96" s="132"/>
      <c r="CI96" s="132"/>
      <c r="CJ96" s="129"/>
      <c r="CK96" s="130"/>
      <c r="CL96" s="131"/>
      <c r="CM96" s="132"/>
      <c r="CN96" s="132"/>
      <c r="CO96" s="132"/>
      <c r="CP96" s="129"/>
      <c r="CQ96" s="130"/>
      <c r="CR96" s="130"/>
      <c r="CS96" s="130"/>
      <c r="CT96" s="131"/>
      <c r="CU96" s="129"/>
      <c r="CV96" s="130"/>
      <c r="CW96" s="130"/>
      <c r="CX96" s="130"/>
      <c r="CY96" s="130"/>
      <c r="CZ96" s="131"/>
      <c r="DA96" s="129"/>
      <c r="DB96" s="130"/>
      <c r="DC96" s="130"/>
      <c r="DD96" s="130"/>
      <c r="DE96" s="131"/>
      <c r="DF96" s="129"/>
      <c r="DG96" s="130"/>
      <c r="DH96" s="130"/>
      <c r="DI96" s="130"/>
      <c r="DJ96" s="130"/>
      <c r="DK96" s="131"/>
      <c r="DL96" s="129"/>
      <c r="DM96" s="130"/>
      <c r="DN96" s="130"/>
      <c r="DO96" s="130"/>
      <c r="DP96" s="130"/>
      <c r="DQ96" s="131"/>
      <c r="DR96" s="129"/>
      <c r="DS96" s="130"/>
      <c r="DT96" s="130"/>
      <c r="DU96" s="130"/>
      <c r="DV96" s="130"/>
      <c r="DW96" s="131"/>
      <c r="DX96" s="129"/>
      <c r="DY96" s="130"/>
      <c r="DZ96" s="130"/>
      <c r="EA96" s="130"/>
      <c r="EB96" s="130"/>
      <c r="EC96" s="131"/>
      <c r="ED96" s="129"/>
      <c r="EE96" s="130"/>
      <c r="EF96" s="130"/>
      <c r="EG96" s="130"/>
      <c r="EH96" s="130"/>
      <c r="EI96" s="130"/>
      <c r="EJ96" s="129"/>
      <c r="EK96" s="130"/>
      <c r="EL96" s="130"/>
      <c r="EM96" s="130"/>
      <c r="EN96" s="130"/>
      <c r="EO96" s="130"/>
      <c r="EP96" s="130"/>
      <c r="EQ96" s="130"/>
      <c r="ER96" s="130"/>
      <c r="ES96" s="130"/>
      <c r="ET96" s="130"/>
      <c r="EU96" s="130"/>
      <c r="EV96" s="130"/>
      <c r="EW96" s="130"/>
      <c r="EX96" s="130"/>
      <c r="EY96" s="130"/>
      <c r="EZ96" s="133"/>
      <c r="FA96" s="132"/>
      <c r="FB96" s="132"/>
      <c r="FC96" s="132"/>
      <c r="FD96" s="132"/>
      <c r="FE96" s="132"/>
      <c r="FF96" s="129" t="s">
        <v>149</v>
      </c>
      <c r="FG96" s="130"/>
      <c r="FH96" s="130"/>
      <c r="FI96" s="130"/>
      <c r="FJ96" s="129"/>
      <c r="FK96" s="130"/>
      <c r="FL96" s="131"/>
      <c r="FM96" s="129"/>
    </row>
    <row r="97" spans="1:246">
      <c r="A97" s="95" t="s">
        <v>445</v>
      </c>
      <c r="B97" s="96" t="s">
        <v>446</v>
      </c>
      <c r="D97" s="95">
        <f t="shared" si="5"/>
        <v>1</v>
      </c>
      <c r="E97" s="129"/>
      <c r="F97" s="130"/>
      <c r="G97" s="130"/>
      <c r="H97" s="130"/>
      <c r="I97" s="130"/>
      <c r="J97" s="130"/>
      <c r="K97" s="131"/>
      <c r="L97" s="129"/>
      <c r="M97" s="130"/>
      <c r="N97" s="130"/>
      <c r="O97" s="131"/>
      <c r="P97" s="129"/>
      <c r="Q97" s="130"/>
      <c r="R97" s="130"/>
      <c r="S97" s="130"/>
      <c r="T97" s="130"/>
      <c r="U97" s="131"/>
      <c r="V97" s="129"/>
      <c r="W97" s="130"/>
      <c r="X97" s="130"/>
      <c r="Y97" s="130"/>
      <c r="Z97" s="130"/>
      <c r="AA97" s="130"/>
      <c r="AB97" s="131"/>
      <c r="AC97" s="129"/>
      <c r="AD97" s="130"/>
      <c r="AE97" s="130"/>
      <c r="AF97" s="130"/>
      <c r="AG97" s="130"/>
      <c r="AH97" s="131"/>
      <c r="AI97" s="129"/>
      <c r="AJ97" s="130"/>
      <c r="AK97" s="130"/>
      <c r="AL97" s="130"/>
      <c r="AM97" s="130"/>
      <c r="AN97" s="130"/>
      <c r="AO97" s="131"/>
      <c r="AP97" s="129"/>
      <c r="AQ97" s="130"/>
      <c r="AR97" s="130"/>
      <c r="AS97" s="131"/>
      <c r="AT97" s="129"/>
      <c r="AU97" s="130"/>
      <c r="AV97" s="130"/>
      <c r="AW97" s="130"/>
      <c r="AX97" s="130"/>
      <c r="AY97" s="131"/>
      <c r="AZ97" s="129"/>
      <c r="BA97" s="130"/>
      <c r="BB97" s="130"/>
      <c r="BC97" s="130"/>
      <c r="BD97" s="130"/>
      <c r="BE97" s="130"/>
      <c r="BF97" s="131"/>
      <c r="BG97" s="129"/>
      <c r="BH97" s="130"/>
      <c r="BI97" s="130"/>
      <c r="BJ97" s="130"/>
      <c r="BK97" s="131"/>
      <c r="BL97" s="129"/>
      <c r="BM97" s="130"/>
      <c r="BN97" s="130"/>
      <c r="BO97" s="130"/>
      <c r="BP97" s="130"/>
      <c r="BQ97" s="130"/>
      <c r="BR97" s="130"/>
      <c r="BS97" s="131"/>
      <c r="BT97" s="132"/>
      <c r="BU97" s="132"/>
      <c r="BV97" s="132"/>
      <c r="BW97" s="132"/>
      <c r="BX97" s="132"/>
      <c r="BY97" s="129"/>
      <c r="BZ97" s="130"/>
      <c r="CA97" s="130"/>
      <c r="CB97" s="130"/>
      <c r="CC97" s="130"/>
      <c r="CD97" s="131"/>
      <c r="CE97" s="132"/>
      <c r="CF97" s="132"/>
      <c r="CG97" s="132"/>
      <c r="CH97" s="132"/>
      <c r="CI97" s="132"/>
      <c r="CJ97" s="129"/>
      <c r="CK97" s="130"/>
      <c r="CL97" s="131"/>
      <c r="CM97" s="132"/>
      <c r="CN97" s="132"/>
      <c r="CO97" s="132"/>
      <c r="CP97" s="129"/>
      <c r="CQ97" s="130"/>
      <c r="CR97" s="130"/>
      <c r="CS97" s="130"/>
      <c r="CT97" s="131"/>
      <c r="CU97" s="129"/>
      <c r="CV97" s="130"/>
      <c r="CW97" s="130"/>
      <c r="CX97" s="130"/>
      <c r="CY97" s="130"/>
      <c r="CZ97" s="131"/>
      <c r="DA97" s="129"/>
      <c r="DB97" s="130"/>
      <c r="DC97" s="130"/>
      <c r="DD97" s="130"/>
      <c r="DE97" s="131"/>
      <c r="DF97" s="129"/>
      <c r="DG97" s="130"/>
      <c r="DH97" s="130"/>
      <c r="DI97" s="130"/>
      <c r="DJ97" s="130"/>
      <c r="DK97" s="131"/>
      <c r="DL97" s="129"/>
      <c r="DM97" s="130"/>
      <c r="DN97" s="130"/>
      <c r="DO97" s="130"/>
      <c r="DP97" s="130"/>
      <c r="DQ97" s="131"/>
      <c r="DR97" s="129"/>
      <c r="DS97" s="130"/>
      <c r="DT97" s="130"/>
      <c r="DU97" s="130"/>
      <c r="DV97" s="130"/>
      <c r="DW97" s="131"/>
      <c r="DX97" s="129"/>
      <c r="DY97" s="130"/>
      <c r="DZ97" s="130"/>
      <c r="EA97" s="130"/>
      <c r="EB97" s="130"/>
      <c r="EC97" s="131"/>
      <c r="ED97" s="129"/>
      <c r="EE97" s="130"/>
      <c r="EF97" s="130"/>
      <c r="EG97" s="130"/>
      <c r="EH97" s="130"/>
      <c r="EI97" s="130"/>
      <c r="EJ97" s="129"/>
      <c r="EK97" s="130"/>
      <c r="EL97" s="130"/>
      <c r="EM97" s="130"/>
      <c r="EN97" s="130"/>
      <c r="EO97" s="130"/>
      <c r="EP97" s="130"/>
      <c r="EQ97" s="130"/>
      <c r="ER97" s="130"/>
      <c r="ES97" s="130"/>
      <c r="ET97" s="130"/>
      <c r="EU97" s="130"/>
      <c r="EV97" s="130"/>
      <c r="EW97" s="130"/>
      <c r="EX97" s="130"/>
      <c r="EY97" s="130"/>
      <c r="EZ97" s="133"/>
      <c r="FA97" s="132"/>
      <c r="FB97" s="132"/>
      <c r="FC97" s="132"/>
      <c r="FD97" s="132"/>
      <c r="FE97" s="132"/>
      <c r="FF97" s="129"/>
      <c r="FG97" s="130"/>
      <c r="FH97" s="130"/>
      <c r="FI97" s="130" t="s">
        <v>149</v>
      </c>
      <c r="FJ97" s="129"/>
      <c r="FK97" s="130"/>
      <c r="FL97" s="131"/>
      <c r="FM97" s="129"/>
    </row>
    <row r="98" spans="1:246">
      <c r="A98" s="95" t="s">
        <v>567</v>
      </c>
      <c r="B98" s="96" t="s">
        <v>447</v>
      </c>
      <c r="D98" s="95">
        <f t="shared" si="5"/>
        <v>1</v>
      </c>
      <c r="E98" s="129"/>
      <c r="F98" s="130"/>
      <c r="G98" s="130"/>
      <c r="H98" s="130"/>
      <c r="I98" s="130"/>
      <c r="J98" s="130"/>
      <c r="K98" s="131"/>
      <c r="L98" s="129"/>
      <c r="M98" s="130"/>
      <c r="N98" s="130"/>
      <c r="O98" s="131"/>
      <c r="P98" s="129"/>
      <c r="Q98" s="130"/>
      <c r="R98" s="130"/>
      <c r="S98" s="130"/>
      <c r="T98" s="130"/>
      <c r="U98" s="131"/>
      <c r="V98" s="129"/>
      <c r="W98" s="130"/>
      <c r="X98" s="130"/>
      <c r="Y98" s="130"/>
      <c r="Z98" s="130"/>
      <c r="AA98" s="130"/>
      <c r="AB98" s="131"/>
      <c r="AC98" s="129"/>
      <c r="AD98" s="130"/>
      <c r="AE98" s="130"/>
      <c r="AF98" s="130"/>
      <c r="AG98" s="130"/>
      <c r="AH98" s="131"/>
      <c r="AI98" s="129"/>
      <c r="AJ98" s="130"/>
      <c r="AK98" s="130"/>
      <c r="AL98" s="130"/>
      <c r="AM98" s="130"/>
      <c r="AN98" s="130"/>
      <c r="AO98" s="131"/>
      <c r="AP98" s="129"/>
      <c r="AQ98" s="130"/>
      <c r="AR98" s="130"/>
      <c r="AS98" s="131"/>
      <c r="AT98" s="129"/>
      <c r="AU98" s="130"/>
      <c r="AV98" s="130"/>
      <c r="AW98" s="130"/>
      <c r="AX98" s="130"/>
      <c r="AY98" s="131"/>
      <c r="AZ98" s="129"/>
      <c r="BA98" s="130"/>
      <c r="BB98" s="130"/>
      <c r="BC98" s="130"/>
      <c r="BD98" s="130"/>
      <c r="BE98" s="130"/>
      <c r="BF98" s="131"/>
      <c r="BG98" s="129"/>
      <c r="BH98" s="130"/>
      <c r="BI98" s="130"/>
      <c r="BJ98" s="130"/>
      <c r="BK98" s="131"/>
      <c r="BL98" s="129"/>
      <c r="BM98" s="130"/>
      <c r="BN98" s="130"/>
      <c r="BO98" s="130"/>
      <c r="BP98" s="130"/>
      <c r="BQ98" s="130"/>
      <c r="BR98" s="130"/>
      <c r="BS98" s="131"/>
      <c r="BT98" s="132"/>
      <c r="BU98" s="132"/>
      <c r="BV98" s="132"/>
      <c r="BW98" s="132"/>
      <c r="BX98" s="132"/>
      <c r="BY98" s="129"/>
      <c r="BZ98" s="130"/>
      <c r="CA98" s="130"/>
      <c r="CB98" s="130"/>
      <c r="CC98" s="130"/>
      <c r="CD98" s="131"/>
      <c r="CE98" s="132"/>
      <c r="CF98" s="132"/>
      <c r="CG98" s="132"/>
      <c r="CH98" s="132"/>
      <c r="CI98" s="132"/>
      <c r="CJ98" s="129"/>
      <c r="CK98" s="130"/>
      <c r="CL98" s="131"/>
      <c r="CM98" s="132"/>
      <c r="CN98" s="132"/>
      <c r="CO98" s="132"/>
      <c r="CP98" s="129"/>
      <c r="CQ98" s="130"/>
      <c r="CR98" s="130"/>
      <c r="CS98" s="130"/>
      <c r="CT98" s="131"/>
      <c r="CU98" s="129"/>
      <c r="CV98" s="130"/>
      <c r="CW98" s="130"/>
      <c r="CX98" s="130"/>
      <c r="CY98" s="130"/>
      <c r="CZ98" s="131"/>
      <c r="DA98" s="129"/>
      <c r="DB98" s="130"/>
      <c r="DC98" s="130"/>
      <c r="DD98" s="130"/>
      <c r="DE98" s="131"/>
      <c r="DF98" s="129"/>
      <c r="DG98" s="130"/>
      <c r="DH98" s="130"/>
      <c r="DI98" s="130"/>
      <c r="DJ98" s="130"/>
      <c r="DK98" s="131"/>
      <c r="DL98" s="129"/>
      <c r="DM98" s="130"/>
      <c r="DN98" s="130"/>
      <c r="DO98" s="130"/>
      <c r="DP98" s="130"/>
      <c r="DQ98" s="131"/>
      <c r="DR98" s="129"/>
      <c r="DS98" s="130"/>
      <c r="DT98" s="130"/>
      <c r="DU98" s="130"/>
      <c r="DV98" s="130"/>
      <c r="DW98" s="131"/>
      <c r="DX98" s="129"/>
      <c r="DY98" s="130"/>
      <c r="DZ98" s="130"/>
      <c r="EA98" s="130"/>
      <c r="EB98" s="130"/>
      <c r="EC98" s="131"/>
      <c r="ED98" s="129"/>
      <c r="EE98" s="130"/>
      <c r="EF98" s="130"/>
      <c r="EG98" s="130"/>
      <c r="EH98" s="130"/>
      <c r="EI98" s="130"/>
      <c r="EJ98" s="129"/>
      <c r="EK98" s="130"/>
      <c r="EL98" s="130"/>
      <c r="EM98" s="130"/>
      <c r="EN98" s="130"/>
      <c r="EO98" s="130"/>
      <c r="EP98" s="130"/>
      <c r="EQ98" s="130"/>
      <c r="ER98" s="130"/>
      <c r="ES98" s="130"/>
      <c r="ET98" s="130"/>
      <c r="EU98" s="130"/>
      <c r="EV98" s="130"/>
      <c r="EW98" s="130"/>
      <c r="EX98" s="130"/>
      <c r="EY98" s="130"/>
      <c r="EZ98" s="133"/>
      <c r="FA98" s="132"/>
      <c r="FB98" s="132"/>
      <c r="FC98" s="132"/>
      <c r="FD98" s="132"/>
      <c r="FE98" s="132"/>
      <c r="FF98" s="129"/>
      <c r="FG98" s="130"/>
      <c r="FH98" s="130"/>
      <c r="FI98" s="130" t="s">
        <v>149</v>
      </c>
      <c r="FJ98" s="129"/>
      <c r="FK98" s="130"/>
      <c r="FL98" s="131"/>
      <c r="FM98" s="129"/>
    </row>
    <row r="99" spans="1:246">
      <c r="A99" s="95" t="s">
        <v>448</v>
      </c>
      <c r="B99" s="96" t="s">
        <v>449</v>
      </c>
      <c r="D99" s="95">
        <f t="shared" si="5"/>
        <v>1</v>
      </c>
      <c r="E99" s="129"/>
      <c r="F99" s="130"/>
      <c r="G99" s="130"/>
      <c r="H99" s="130"/>
      <c r="I99" s="130"/>
      <c r="J99" s="130"/>
      <c r="K99" s="131"/>
      <c r="L99" s="129"/>
      <c r="M99" s="130"/>
      <c r="N99" s="130"/>
      <c r="O99" s="131"/>
      <c r="P99" s="129"/>
      <c r="Q99" s="130"/>
      <c r="R99" s="130"/>
      <c r="S99" s="130"/>
      <c r="T99" s="130"/>
      <c r="U99" s="131"/>
      <c r="V99" s="129"/>
      <c r="W99" s="130"/>
      <c r="X99" s="130"/>
      <c r="Y99" s="130"/>
      <c r="Z99" s="130"/>
      <c r="AA99" s="130"/>
      <c r="AB99" s="131"/>
      <c r="AC99" s="129"/>
      <c r="AD99" s="130"/>
      <c r="AE99" s="130"/>
      <c r="AF99" s="130"/>
      <c r="AG99" s="130"/>
      <c r="AH99" s="131"/>
      <c r="AI99" s="129"/>
      <c r="AJ99" s="130"/>
      <c r="AK99" s="130"/>
      <c r="AL99" s="130"/>
      <c r="AM99" s="130"/>
      <c r="AN99" s="130"/>
      <c r="AO99" s="131"/>
      <c r="AP99" s="129"/>
      <c r="AQ99" s="130"/>
      <c r="AR99" s="130"/>
      <c r="AS99" s="131"/>
      <c r="AT99" s="129"/>
      <c r="AU99" s="130"/>
      <c r="AV99" s="130"/>
      <c r="AW99" s="130"/>
      <c r="AX99" s="130"/>
      <c r="AY99" s="131"/>
      <c r="AZ99" s="129"/>
      <c r="BA99" s="130"/>
      <c r="BB99" s="130"/>
      <c r="BC99" s="130"/>
      <c r="BD99" s="130"/>
      <c r="BE99" s="130"/>
      <c r="BF99" s="131"/>
      <c r="BG99" s="129"/>
      <c r="BH99" s="130"/>
      <c r="BI99" s="130"/>
      <c r="BJ99" s="130"/>
      <c r="BK99" s="131"/>
      <c r="BL99" s="129"/>
      <c r="BM99" s="130"/>
      <c r="BN99" s="130"/>
      <c r="BO99" s="130"/>
      <c r="BP99" s="130"/>
      <c r="BQ99" s="130"/>
      <c r="BR99" s="130"/>
      <c r="BS99" s="131"/>
      <c r="BT99" s="132"/>
      <c r="BU99" s="132"/>
      <c r="BV99" s="132"/>
      <c r="BW99" s="132"/>
      <c r="BX99" s="132"/>
      <c r="BY99" s="129"/>
      <c r="BZ99" s="130"/>
      <c r="CA99" s="130"/>
      <c r="CB99" s="130"/>
      <c r="CC99" s="130"/>
      <c r="CD99" s="131"/>
      <c r="CE99" s="132"/>
      <c r="CF99" s="132"/>
      <c r="CG99" s="132"/>
      <c r="CH99" s="132"/>
      <c r="CI99" s="132"/>
      <c r="CJ99" s="129"/>
      <c r="CK99" s="130"/>
      <c r="CL99" s="131"/>
      <c r="CM99" s="132"/>
      <c r="CN99" s="132"/>
      <c r="CO99" s="132"/>
      <c r="CP99" s="129"/>
      <c r="CQ99" s="130"/>
      <c r="CR99" s="130"/>
      <c r="CS99" s="130"/>
      <c r="CT99" s="131"/>
      <c r="CU99" s="129"/>
      <c r="CV99" s="130"/>
      <c r="CW99" s="130"/>
      <c r="CX99" s="130"/>
      <c r="CY99" s="130"/>
      <c r="CZ99" s="131"/>
      <c r="DA99" s="129"/>
      <c r="DB99" s="130"/>
      <c r="DC99" s="130"/>
      <c r="DD99" s="130"/>
      <c r="DE99" s="131"/>
      <c r="DF99" s="129"/>
      <c r="DG99" s="130"/>
      <c r="DH99" s="130"/>
      <c r="DI99" s="130"/>
      <c r="DJ99" s="130"/>
      <c r="DK99" s="131"/>
      <c r="DL99" s="129"/>
      <c r="DM99" s="130"/>
      <c r="DN99" s="130"/>
      <c r="DO99" s="130"/>
      <c r="DP99" s="130"/>
      <c r="DQ99" s="131"/>
      <c r="DR99" s="129"/>
      <c r="DS99" s="130"/>
      <c r="DT99" s="130"/>
      <c r="DU99" s="130"/>
      <c r="DV99" s="130"/>
      <c r="DW99" s="131"/>
      <c r="DX99" s="129"/>
      <c r="DY99" s="130"/>
      <c r="DZ99" s="130"/>
      <c r="EA99" s="130"/>
      <c r="EB99" s="130"/>
      <c r="EC99" s="131"/>
      <c r="ED99" s="129"/>
      <c r="EE99" s="130"/>
      <c r="EF99" s="130"/>
      <c r="EG99" s="130"/>
      <c r="EH99" s="130"/>
      <c r="EI99" s="130"/>
      <c r="EJ99" s="129"/>
      <c r="EK99" s="130"/>
      <c r="EL99" s="130"/>
      <c r="EM99" s="130"/>
      <c r="EN99" s="130"/>
      <c r="EO99" s="130"/>
      <c r="EP99" s="130"/>
      <c r="EQ99" s="130"/>
      <c r="ER99" s="130"/>
      <c r="ES99" s="130"/>
      <c r="ET99" s="130"/>
      <c r="EU99" s="130"/>
      <c r="EV99" s="130"/>
      <c r="EW99" s="130"/>
      <c r="EX99" s="130"/>
      <c r="EY99" s="130"/>
      <c r="EZ99" s="133"/>
      <c r="FA99" s="132"/>
      <c r="FB99" s="132"/>
      <c r="FC99" s="132"/>
      <c r="FD99" s="132"/>
      <c r="FE99" s="132"/>
      <c r="FF99" s="129"/>
      <c r="FG99" s="130"/>
      <c r="FH99" s="130"/>
      <c r="FI99" s="130"/>
      <c r="FJ99" s="129"/>
      <c r="FK99" s="130"/>
      <c r="FL99" s="131"/>
      <c r="FM99" s="129" t="s">
        <v>149</v>
      </c>
    </row>
    <row r="100" spans="1:246">
      <c r="A100" s="95" t="s">
        <v>448</v>
      </c>
      <c r="B100" s="96" t="s">
        <v>450</v>
      </c>
      <c r="D100" s="95">
        <f t="shared" si="5"/>
        <v>0</v>
      </c>
      <c r="E100" s="129"/>
      <c r="F100" s="130"/>
      <c r="G100" s="130"/>
      <c r="H100" s="130"/>
      <c r="I100" s="130"/>
      <c r="J100" s="130"/>
      <c r="K100" s="131"/>
      <c r="L100" s="129"/>
      <c r="M100" s="130"/>
      <c r="N100" s="130"/>
      <c r="O100" s="131"/>
      <c r="P100" s="129"/>
      <c r="Q100" s="130"/>
      <c r="R100" s="130"/>
      <c r="S100" s="130"/>
      <c r="T100" s="130"/>
      <c r="U100" s="131"/>
      <c r="V100" s="129"/>
      <c r="W100" s="130"/>
      <c r="X100" s="130"/>
      <c r="Y100" s="130"/>
      <c r="Z100" s="130"/>
      <c r="AA100" s="130"/>
      <c r="AB100" s="131"/>
      <c r="AC100" s="129"/>
      <c r="AD100" s="130"/>
      <c r="AE100" s="130"/>
      <c r="AF100" s="130"/>
      <c r="AG100" s="130"/>
      <c r="AH100" s="131"/>
      <c r="AI100" s="129"/>
      <c r="AJ100" s="130"/>
      <c r="AK100" s="130"/>
      <c r="AL100" s="130"/>
      <c r="AM100" s="130"/>
      <c r="AN100" s="130"/>
      <c r="AO100" s="131"/>
      <c r="AP100" s="129"/>
      <c r="AQ100" s="130"/>
      <c r="AR100" s="130"/>
      <c r="AS100" s="131"/>
      <c r="AT100" s="129"/>
      <c r="AU100" s="130"/>
      <c r="AV100" s="130"/>
      <c r="AW100" s="130"/>
      <c r="AX100" s="130"/>
      <c r="AY100" s="131"/>
      <c r="AZ100" s="129"/>
      <c r="BA100" s="130"/>
      <c r="BB100" s="130"/>
      <c r="BC100" s="130"/>
      <c r="BD100" s="130"/>
      <c r="BE100" s="130"/>
      <c r="BF100" s="131"/>
      <c r="BG100" s="129"/>
      <c r="BH100" s="130"/>
      <c r="BI100" s="130"/>
      <c r="BJ100" s="130"/>
      <c r="BK100" s="131"/>
      <c r="BL100" s="129"/>
      <c r="BM100" s="130"/>
      <c r="BN100" s="130"/>
      <c r="BO100" s="130"/>
      <c r="BP100" s="130"/>
      <c r="BQ100" s="130"/>
      <c r="BR100" s="130"/>
      <c r="BS100" s="131"/>
      <c r="BT100" s="132"/>
      <c r="BU100" s="132"/>
      <c r="BV100" s="132"/>
      <c r="BW100" s="132"/>
      <c r="BX100" s="132"/>
      <c r="BY100" s="129"/>
      <c r="BZ100" s="130"/>
      <c r="CA100" s="130"/>
      <c r="CB100" s="130"/>
      <c r="CC100" s="130"/>
      <c r="CD100" s="131"/>
      <c r="CE100" s="132"/>
      <c r="CF100" s="132"/>
      <c r="CG100" s="132"/>
      <c r="CH100" s="132"/>
      <c r="CI100" s="132"/>
      <c r="CJ100" s="129"/>
      <c r="CK100" s="130"/>
      <c r="CL100" s="131"/>
      <c r="CM100" s="132"/>
      <c r="CN100" s="132"/>
      <c r="CO100" s="132"/>
      <c r="CP100" s="129"/>
      <c r="CQ100" s="130"/>
      <c r="CR100" s="130"/>
      <c r="CS100" s="130"/>
      <c r="CT100" s="131"/>
      <c r="CU100" s="129"/>
      <c r="CV100" s="130"/>
      <c r="CW100" s="130"/>
      <c r="CX100" s="130"/>
      <c r="CY100" s="130"/>
      <c r="CZ100" s="131"/>
      <c r="DA100" s="129"/>
      <c r="DB100" s="130"/>
      <c r="DC100" s="130"/>
      <c r="DD100" s="130"/>
      <c r="DE100" s="131"/>
      <c r="DF100" s="129"/>
      <c r="DG100" s="130"/>
      <c r="DH100" s="130"/>
      <c r="DI100" s="130"/>
      <c r="DJ100" s="130"/>
      <c r="DK100" s="131"/>
      <c r="DL100" s="129"/>
      <c r="DM100" s="130"/>
      <c r="DN100" s="130"/>
      <c r="DO100" s="130"/>
      <c r="DP100" s="130"/>
      <c r="DQ100" s="131"/>
      <c r="DR100" s="129"/>
      <c r="DS100" s="130"/>
      <c r="DT100" s="130"/>
      <c r="DU100" s="130"/>
      <c r="DV100" s="130"/>
      <c r="DW100" s="131"/>
      <c r="DX100" s="129"/>
      <c r="DY100" s="130"/>
      <c r="DZ100" s="130"/>
      <c r="EA100" s="130"/>
      <c r="EB100" s="130"/>
      <c r="EC100" s="131"/>
      <c r="ED100" s="129"/>
      <c r="EE100" s="130"/>
      <c r="EF100" s="130"/>
      <c r="EG100" s="130"/>
      <c r="EH100" s="130"/>
      <c r="EI100" s="130"/>
      <c r="EJ100" s="129"/>
      <c r="EK100" s="130"/>
      <c r="EL100" s="130"/>
      <c r="EM100" s="130"/>
      <c r="EN100" s="130"/>
      <c r="EO100" s="130"/>
      <c r="EP100" s="130"/>
      <c r="EQ100" s="130"/>
      <c r="ER100" s="130"/>
      <c r="ES100" s="130"/>
      <c r="ET100" s="130"/>
      <c r="EU100" s="130"/>
      <c r="EV100" s="130"/>
      <c r="EW100" s="130"/>
      <c r="EX100" s="130"/>
      <c r="EY100" s="130"/>
      <c r="EZ100" s="133"/>
      <c r="FA100" s="132"/>
      <c r="FB100" s="132"/>
      <c r="FC100" s="132"/>
      <c r="FD100" s="132"/>
      <c r="FE100" s="132"/>
      <c r="FF100" s="129"/>
      <c r="FG100" s="130"/>
      <c r="FH100" s="130"/>
      <c r="FI100" s="130"/>
      <c r="FJ100" s="129"/>
      <c r="FK100" s="130"/>
      <c r="FL100" s="131"/>
      <c r="FM100" s="129"/>
    </row>
    <row r="101" spans="1:246">
      <c r="A101" s="95" t="s">
        <v>304</v>
      </c>
      <c r="B101" s="96" t="s">
        <v>451</v>
      </c>
      <c r="C101" s="95">
        <v>5</v>
      </c>
      <c r="D101" s="95">
        <f t="shared" si="5"/>
        <v>2</v>
      </c>
      <c r="E101" s="129"/>
      <c r="F101" s="130"/>
      <c r="G101" s="130"/>
      <c r="H101" s="130"/>
      <c r="I101" s="130"/>
      <c r="J101" s="130"/>
      <c r="K101" s="131"/>
      <c r="L101" s="129"/>
      <c r="M101" s="130"/>
      <c r="N101" s="130"/>
      <c r="O101" s="131"/>
      <c r="P101" s="129"/>
      <c r="Q101" s="130"/>
      <c r="R101" s="130"/>
      <c r="S101" s="130"/>
      <c r="T101" s="130"/>
      <c r="U101" s="131"/>
      <c r="V101" s="129"/>
      <c r="W101" s="130"/>
      <c r="X101" s="130"/>
      <c r="Y101" s="130"/>
      <c r="Z101" s="130"/>
      <c r="AA101" s="130"/>
      <c r="AB101" s="131"/>
      <c r="AC101" s="129"/>
      <c r="AD101" s="130"/>
      <c r="AE101" s="130"/>
      <c r="AF101" s="130"/>
      <c r="AG101" s="130"/>
      <c r="AH101" s="131"/>
      <c r="AI101" s="129"/>
      <c r="AJ101" s="130"/>
      <c r="AK101" s="130"/>
      <c r="AL101" s="130"/>
      <c r="AM101" s="130"/>
      <c r="AN101" s="130"/>
      <c r="AO101" s="131"/>
      <c r="AP101" s="129"/>
      <c r="AQ101" s="130"/>
      <c r="AR101" s="130"/>
      <c r="AS101" s="131"/>
      <c r="AT101" s="129"/>
      <c r="AU101" s="130"/>
      <c r="AV101" s="130"/>
      <c r="AW101" s="130"/>
      <c r="AX101" s="130"/>
      <c r="AY101" s="131"/>
      <c r="AZ101" s="129"/>
      <c r="BA101" s="130"/>
      <c r="BB101" s="130"/>
      <c r="BC101" s="130"/>
      <c r="BD101" s="130"/>
      <c r="BE101" s="130"/>
      <c r="BF101" s="131"/>
      <c r="BG101" s="129"/>
      <c r="BH101" s="130"/>
      <c r="BI101" s="130"/>
      <c r="BJ101" s="130"/>
      <c r="BK101" s="131"/>
      <c r="BL101" s="129"/>
      <c r="BM101" s="130"/>
      <c r="BN101" s="130"/>
      <c r="BO101" s="130"/>
      <c r="BP101" s="130"/>
      <c r="BQ101" s="130"/>
      <c r="BR101" s="130"/>
      <c r="BS101" s="131"/>
      <c r="BT101" s="132"/>
      <c r="BU101" s="132"/>
      <c r="BV101" s="132"/>
      <c r="BW101" s="132"/>
      <c r="BX101" s="132"/>
      <c r="BY101" s="129"/>
      <c r="BZ101" s="130"/>
      <c r="CA101" s="130"/>
      <c r="CB101" s="130"/>
      <c r="CC101" s="130"/>
      <c r="CD101" s="131"/>
      <c r="CE101" s="132"/>
      <c r="CF101" s="132"/>
      <c r="CG101" s="132"/>
      <c r="CH101" s="132"/>
      <c r="CI101" s="132"/>
      <c r="CJ101" s="129"/>
      <c r="CK101" s="130"/>
      <c r="CL101" s="131"/>
      <c r="CM101" s="132"/>
      <c r="CN101" s="132"/>
      <c r="CO101" s="132"/>
      <c r="CP101" s="129"/>
      <c r="CQ101" s="130"/>
      <c r="CR101" s="130"/>
      <c r="CS101" s="130"/>
      <c r="CT101" s="131"/>
      <c r="CU101" s="129"/>
      <c r="CV101" s="130"/>
      <c r="CW101" s="130"/>
      <c r="CX101" s="130"/>
      <c r="CY101" s="130"/>
      <c r="CZ101" s="131"/>
      <c r="DA101" s="129"/>
      <c r="DB101" s="130"/>
      <c r="DC101" s="130"/>
      <c r="DD101" s="130"/>
      <c r="DE101" s="131"/>
      <c r="DF101" s="129"/>
      <c r="DG101" s="130"/>
      <c r="DH101" s="130"/>
      <c r="DI101" s="130"/>
      <c r="DJ101" s="130"/>
      <c r="DK101" s="131"/>
      <c r="DL101" s="129"/>
      <c r="DM101" s="130"/>
      <c r="DN101" s="130"/>
      <c r="DO101" s="130"/>
      <c r="DP101" s="130"/>
      <c r="DQ101" s="131"/>
      <c r="DR101" s="129"/>
      <c r="DS101" s="130"/>
      <c r="DT101" s="130"/>
      <c r="DU101" s="130"/>
      <c r="DV101" s="130"/>
      <c r="DW101" s="131"/>
      <c r="DX101" s="129"/>
      <c r="DY101" s="130"/>
      <c r="DZ101" s="130"/>
      <c r="EA101" s="130"/>
      <c r="EB101" s="130"/>
      <c r="EC101" s="131"/>
      <c r="ED101" s="129"/>
      <c r="EE101" s="130"/>
      <c r="EF101" s="130"/>
      <c r="EG101" s="130"/>
      <c r="EH101" s="130"/>
      <c r="EI101" s="130"/>
      <c r="EJ101" s="129"/>
      <c r="EK101" s="130"/>
      <c r="EL101" s="130"/>
      <c r="EM101" s="130"/>
      <c r="EN101" s="130"/>
      <c r="EO101" s="130"/>
      <c r="EP101" s="130"/>
      <c r="EQ101" s="130"/>
      <c r="ER101" s="130"/>
      <c r="ES101" s="130"/>
      <c r="ET101" s="130"/>
      <c r="EU101" s="130"/>
      <c r="EV101" s="130"/>
      <c r="EW101" s="130"/>
      <c r="EX101" s="130"/>
      <c r="EY101" s="130"/>
      <c r="EZ101" s="133"/>
      <c r="FA101" s="132"/>
      <c r="FB101" s="132"/>
      <c r="FC101" s="132"/>
      <c r="FD101" s="132"/>
      <c r="FE101" s="132"/>
      <c r="FF101" s="129"/>
      <c r="FG101" s="130"/>
      <c r="FH101" s="130"/>
      <c r="FI101" s="130"/>
      <c r="FJ101" s="129"/>
      <c r="FK101" s="130"/>
      <c r="FL101" s="131"/>
      <c r="FM101" s="129"/>
      <c r="FS101" s="97" t="s">
        <v>149</v>
      </c>
      <c r="FU101" s="97" t="s">
        <v>149</v>
      </c>
    </row>
    <row r="102" spans="1:246">
      <c r="A102" s="95" t="s">
        <v>452</v>
      </c>
      <c r="B102" s="96" t="s">
        <v>453</v>
      </c>
      <c r="D102" s="95">
        <f t="shared" si="5"/>
        <v>1</v>
      </c>
      <c r="E102" s="129"/>
      <c r="F102" s="130"/>
      <c r="G102" s="130"/>
      <c r="H102" s="130"/>
      <c r="I102" s="130"/>
      <c r="J102" s="130"/>
      <c r="K102" s="131"/>
      <c r="L102" s="129"/>
      <c r="M102" s="130"/>
      <c r="N102" s="130"/>
      <c r="O102" s="131"/>
      <c r="P102" s="129"/>
      <c r="Q102" s="130"/>
      <c r="R102" s="130"/>
      <c r="S102" s="130"/>
      <c r="T102" s="130"/>
      <c r="U102" s="131"/>
      <c r="V102" s="129"/>
      <c r="W102" s="130"/>
      <c r="X102" s="130"/>
      <c r="Y102" s="130"/>
      <c r="Z102" s="130"/>
      <c r="AA102" s="130"/>
      <c r="AB102" s="131"/>
      <c r="AC102" s="129"/>
      <c r="AD102" s="130"/>
      <c r="AE102" s="130"/>
      <c r="AF102" s="130"/>
      <c r="AG102" s="130"/>
      <c r="AH102" s="131"/>
      <c r="AI102" s="129"/>
      <c r="AJ102" s="130"/>
      <c r="AK102" s="130"/>
      <c r="AL102" s="130"/>
      <c r="AM102" s="130"/>
      <c r="AN102" s="130"/>
      <c r="AO102" s="131"/>
      <c r="AP102" s="129"/>
      <c r="AQ102" s="130"/>
      <c r="AR102" s="130"/>
      <c r="AS102" s="131"/>
      <c r="AT102" s="129"/>
      <c r="AU102" s="130"/>
      <c r="AV102" s="130"/>
      <c r="AW102" s="130"/>
      <c r="AX102" s="130"/>
      <c r="AY102" s="131"/>
      <c r="AZ102" s="129"/>
      <c r="BA102" s="130"/>
      <c r="BB102" s="130"/>
      <c r="BC102" s="130"/>
      <c r="BD102" s="130"/>
      <c r="BE102" s="130"/>
      <c r="BF102" s="131"/>
      <c r="BG102" s="129"/>
      <c r="BH102" s="130"/>
      <c r="BI102" s="130"/>
      <c r="BJ102" s="130"/>
      <c r="BK102" s="131"/>
      <c r="BL102" s="129"/>
      <c r="BM102" s="130"/>
      <c r="BN102" s="130"/>
      <c r="BO102" s="130"/>
      <c r="BP102" s="130"/>
      <c r="BQ102" s="130"/>
      <c r="BR102" s="130"/>
      <c r="BS102" s="131"/>
      <c r="BT102" s="132"/>
      <c r="BU102" s="132"/>
      <c r="BV102" s="132"/>
      <c r="BW102" s="132"/>
      <c r="BX102" s="132"/>
      <c r="BY102" s="129"/>
      <c r="BZ102" s="130"/>
      <c r="CA102" s="130"/>
      <c r="CB102" s="130"/>
      <c r="CC102" s="130"/>
      <c r="CD102" s="131"/>
      <c r="CE102" s="132"/>
      <c r="CF102" s="132"/>
      <c r="CG102" s="132"/>
      <c r="CH102" s="132"/>
      <c r="CI102" s="132"/>
      <c r="CJ102" s="129"/>
      <c r="CK102" s="130"/>
      <c r="CL102" s="131"/>
      <c r="CM102" s="132"/>
      <c r="CN102" s="132"/>
      <c r="CO102" s="132"/>
      <c r="CP102" s="129"/>
      <c r="CQ102" s="130"/>
      <c r="CR102" s="130"/>
      <c r="CS102" s="130"/>
      <c r="CT102" s="131"/>
      <c r="CU102" s="129"/>
      <c r="CV102" s="130"/>
      <c r="CW102" s="130"/>
      <c r="CX102" s="130"/>
      <c r="CY102" s="130"/>
      <c r="CZ102" s="131"/>
      <c r="DA102" s="129"/>
      <c r="DB102" s="130"/>
      <c r="DC102" s="130"/>
      <c r="DD102" s="130"/>
      <c r="DE102" s="131"/>
      <c r="DF102" s="129"/>
      <c r="DG102" s="130"/>
      <c r="DH102" s="130"/>
      <c r="DI102" s="130"/>
      <c r="DJ102" s="130"/>
      <c r="DK102" s="131"/>
      <c r="DL102" s="129"/>
      <c r="DM102" s="130"/>
      <c r="DN102" s="130"/>
      <c r="DO102" s="130"/>
      <c r="DP102" s="130"/>
      <c r="DQ102" s="131"/>
      <c r="DR102" s="129"/>
      <c r="DS102" s="130"/>
      <c r="DT102" s="130"/>
      <c r="DU102" s="130"/>
      <c r="DV102" s="130"/>
      <c r="DW102" s="131"/>
      <c r="DX102" s="129"/>
      <c r="DY102" s="130"/>
      <c r="DZ102" s="130"/>
      <c r="EA102" s="130"/>
      <c r="EB102" s="130"/>
      <c r="EC102" s="131"/>
      <c r="ED102" s="129"/>
      <c r="EE102" s="130"/>
      <c r="EF102" s="130"/>
      <c r="EG102" s="130"/>
      <c r="EH102" s="130"/>
      <c r="EI102" s="130"/>
      <c r="EJ102" s="129"/>
      <c r="EK102" s="130"/>
      <c r="EL102" s="130"/>
      <c r="EM102" s="130"/>
      <c r="EN102" s="130"/>
      <c r="EO102" s="130"/>
      <c r="EP102" s="130"/>
      <c r="EQ102" s="130"/>
      <c r="ER102" s="130"/>
      <c r="ES102" s="130"/>
      <c r="ET102" s="130"/>
      <c r="EU102" s="130"/>
      <c r="EV102" s="130"/>
      <c r="EW102" s="130"/>
      <c r="EX102" s="130"/>
      <c r="EY102" s="130"/>
      <c r="EZ102" s="133"/>
      <c r="FA102" s="132"/>
      <c r="FB102" s="132"/>
      <c r="FC102" s="132"/>
      <c r="FD102" s="132"/>
      <c r="FE102" s="132"/>
      <c r="FF102" s="129"/>
      <c r="FG102" s="130"/>
      <c r="FH102" s="130"/>
      <c r="FI102" s="130"/>
      <c r="FJ102" s="129"/>
      <c r="FK102" s="130"/>
      <c r="FL102" s="131"/>
      <c r="FM102" s="129"/>
      <c r="GU102" s="99" t="s">
        <v>149</v>
      </c>
    </row>
    <row r="103" spans="1:246">
      <c r="A103" s="95" t="s">
        <v>452</v>
      </c>
      <c r="B103" s="96" t="s">
        <v>455</v>
      </c>
      <c r="D103" s="95">
        <f t="shared" si="5"/>
        <v>3</v>
      </c>
      <c r="E103" s="129"/>
      <c r="F103" s="130"/>
      <c r="G103" s="130"/>
      <c r="H103" s="130"/>
      <c r="I103" s="130"/>
      <c r="J103" s="130"/>
      <c r="K103" s="131"/>
      <c r="L103" s="129"/>
      <c r="M103" s="130"/>
      <c r="N103" s="130"/>
      <c r="O103" s="131"/>
      <c r="P103" s="129"/>
      <c r="Q103" s="130"/>
      <c r="R103" s="130"/>
      <c r="S103" s="130"/>
      <c r="T103" s="130"/>
      <c r="U103" s="131"/>
      <c r="V103" s="129"/>
      <c r="W103" s="130"/>
      <c r="X103" s="130"/>
      <c r="Y103" s="130"/>
      <c r="Z103" s="130"/>
      <c r="AA103" s="130"/>
      <c r="AB103" s="131"/>
      <c r="AC103" s="129"/>
      <c r="AD103" s="130"/>
      <c r="AE103" s="130"/>
      <c r="AF103" s="130"/>
      <c r="AG103" s="130"/>
      <c r="AH103" s="131"/>
      <c r="AI103" s="129"/>
      <c r="AJ103" s="130"/>
      <c r="AK103" s="130"/>
      <c r="AL103" s="130"/>
      <c r="AM103" s="130"/>
      <c r="AN103" s="130"/>
      <c r="AO103" s="131"/>
      <c r="AP103" s="129"/>
      <c r="AQ103" s="130"/>
      <c r="AR103" s="130"/>
      <c r="AS103" s="131"/>
      <c r="AT103" s="129"/>
      <c r="AU103" s="130"/>
      <c r="AV103" s="130"/>
      <c r="AW103" s="130"/>
      <c r="AX103" s="130"/>
      <c r="AY103" s="131"/>
      <c r="AZ103" s="129"/>
      <c r="BA103" s="130"/>
      <c r="BB103" s="130"/>
      <c r="BC103" s="130"/>
      <c r="BD103" s="130"/>
      <c r="BE103" s="130"/>
      <c r="BF103" s="131"/>
      <c r="BG103" s="129"/>
      <c r="BH103" s="130"/>
      <c r="BI103" s="130"/>
      <c r="BJ103" s="130"/>
      <c r="BK103" s="131"/>
      <c r="BL103" s="129"/>
      <c r="BM103" s="130"/>
      <c r="BN103" s="130"/>
      <c r="BO103" s="130"/>
      <c r="BP103" s="130"/>
      <c r="BQ103" s="130"/>
      <c r="BR103" s="130"/>
      <c r="BS103" s="131"/>
      <c r="BT103" s="132"/>
      <c r="BU103" s="132"/>
      <c r="BV103" s="132"/>
      <c r="BW103" s="132"/>
      <c r="BX103" s="132"/>
      <c r="BY103" s="129"/>
      <c r="BZ103" s="130"/>
      <c r="CA103" s="130"/>
      <c r="CB103" s="130"/>
      <c r="CC103" s="130"/>
      <c r="CD103" s="131"/>
      <c r="CE103" s="132"/>
      <c r="CF103" s="132"/>
      <c r="CG103" s="132"/>
      <c r="CH103" s="132"/>
      <c r="CI103" s="132"/>
      <c r="CJ103" s="129"/>
      <c r="CK103" s="130"/>
      <c r="CL103" s="131"/>
      <c r="CM103" s="132"/>
      <c r="CN103" s="132"/>
      <c r="CO103" s="132"/>
      <c r="CP103" s="129"/>
      <c r="CQ103" s="130"/>
      <c r="CR103" s="130"/>
      <c r="CS103" s="130"/>
      <c r="CT103" s="131"/>
      <c r="CU103" s="129"/>
      <c r="CV103" s="130"/>
      <c r="CW103" s="130"/>
      <c r="CX103" s="130"/>
      <c r="CY103" s="130"/>
      <c r="CZ103" s="131"/>
      <c r="DA103" s="129"/>
      <c r="DB103" s="130"/>
      <c r="DC103" s="130"/>
      <c r="DD103" s="130"/>
      <c r="DE103" s="131"/>
      <c r="DF103" s="129"/>
      <c r="DG103" s="130"/>
      <c r="DH103" s="130"/>
      <c r="DI103" s="130"/>
      <c r="DJ103" s="130"/>
      <c r="DK103" s="131"/>
      <c r="DL103" s="129"/>
      <c r="DM103" s="130"/>
      <c r="DN103" s="130"/>
      <c r="DO103" s="130"/>
      <c r="DP103" s="130"/>
      <c r="DQ103" s="131"/>
      <c r="DR103" s="129"/>
      <c r="DS103" s="130"/>
      <c r="DT103" s="130"/>
      <c r="DU103" s="130"/>
      <c r="DV103" s="130"/>
      <c r="DW103" s="131"/>
      <c r="DX103" s="129"/>
      <c r="DY103" s="130"/>
      <c r="DZ103" s="130"/>
      <c r="EA103" s="130"/>
      <c r="EB103" s="130"/>
      <c r="EC103" s="131"/>
      <c r="ED103" s="129"/>
      <c r="EE103" s="130"/>
      <c r="EF103" s="130"/>
      <c r="EG103" s="130"/>
      <c r="EH103" s="130"/>
      <c r="EI103" s="130"/>
      <c r="EJ103" s="129"/>
      <c r="EK103" s="130"/>
      <c r="EL103" s="130"/>
      <c r="EM103" s="130"/>
      <c r="EN103" s="130"/>
      <c r="EO103" s="130"/>
      <c r="EP103" s="130"/>
      <c r="EQ103" s="130"/>
      <c r="ER103" s="130"/>
      <c r="ES103" s="130"/>
      <c r="ET103" s="130"/>
      <c r="EU103" s="130"/>
      <c r="EV103" s="130"/>
      <c r="EW103" s="130"/>
      <c r="EX103" s="130"/>
      <c r="EY103" s="130"/>
      <c r="EZ103" s="133"/>
      <c r="FA103" s="132"/>
      <c r="FB103" s="132"/>
      <c r="FC103" s="132"/>
      <c r="FD103" s="132"/>
      <c r="FE103" s="132"/>
      <c r="FF103" s="129"/>
      <c r="FG103" s="130"/>
      <c r="FH103" s="130"/>
      <c r="FI103" s="130"/>
      <c r="FJ103" s="129"/>
      <c r="FK103" s="130"/>
      <c r="FL103" s="131"/>
      <c r="FM103" s="129"/>
      <c r="GU103" s="99" t="s">
        <v>149</v>
      </c>
      <c r="GX103" s="97" t="s">
        <v>149</v>
      </c>
      <c r="GY103" s="97" t="s">
        <v>149</v>
      </c>
    </row>
    <row r="104" spans="1:246">
      <c r="A104" s="95" t="s">
        <v>452</v>
      </c>
      <c r="B104" s="96" t="s">
        <v>457</v>
      </c>
      <c r="D104" s="95">
        <f t="shared" si="5"/>
        <v>0</v>
      </c>
      <c r="E104" s="129"/>
      <c r="F104" s="130"/>
      <c r="G104" s="130"/>
      <c r="H104" s="130"/>
      <c r="I104" s="130"/>
      <c r="J104" s="130"/>
      <c r="K104" s="131"/>
      <c r="L104" s="129"/>
      <c r="M104" s="130"/>
      <c r="N104" s="130"/>
      <c r="O104" s="131"/>
      <c r="P104" s="129"/>
      <c r="Q104" s="130"/>
      <c r="R104" s="130"/>
      <c r="S104" s="130"/>
      <c r="T104" s="130"/>
      <c r="U104" s="131"/>
      <c r="V104" s="129"/>
      <c r="W104" s="130"/>
      <c r="X104" s="130"/>
      <c r="Y104" s="130"/>
      <c r="Z104" s="130"/>
      <c r="AA104" s="130"/>
      <c r="AB104" s="131"/>
      <c r="AC104" s="129"/>
      <c r="AD104" s="130"/>
      <c r="AE104" s="130"/>
      <c r="AF104" s="130"/>
      <c r="AG104" s="130"/>
      <c r="AH104" s="131"/>
      <c r="AI104" s="129"/>
      <c r="AJ104" s="130"/>
      <c r="AK104" s="130"/>
      <c r="AL104" s="130"/>
      <c r="AM104" s="130"/>
      <c r="AN104" s="130"/>
      <c r="AO104" s="131"/>
      <c r="AP104" s="129"/>
      <c r="AQ104" s="130"/>
      <c r="AR104" s="130"/>
      <c r="AS104" s="131"/>
      <c r="AT104" s="129"/>
      <c r="AU104" s="130"/>
      <c r="AV104" s="130"/>
      <c r="AW104" s="130"/>
      <c r="AX104" s="130"/>
      <c r="AY104" s="131"/>
      <c r="AZ104" s="129"/>
      <c r="BA104" s="130"/>
      <c r="BB104" s="130"/>
      <c r="BC104" s="130"/>
      <c r="BD104" s="130"/>
      <c r="BE104" s="130"/>
      <c r="BF104" s="131"/>
      <c r="BG104" s="129"/>
      <c r="BH104" s="130"/>
      <c r="BI104" s="130"/>
      <c r="BJ104" s="130"/>
      <c r="BK104" s="131"/>
      <c r="BL104" s="129"/>
      <c r="BM104" s="130"/>
      <c r="BN104" s="130"/>
      <c r="BO104" s="130"/>
      <c r="BP104" s="130"/>
      <c r="BQ104" s="130"/>
      <c r="BR104" s="130"/>
      <c r="BS104" s="131"/>
      <c r="BT104" s="132"/>
      <c r="BU104" s="132"/>
      <c r="BV104" s="132"/>
      <c r="BW104" s="132"/>
      <c r="BX104" s="132"/>
      <c r="BY104" s="129"/>
      <c r="BZ104" s="130"/>
      <c r="CA104" s="130"/>
      <c r="CB104" s="130"/>
      <c r="CC104" s="130"/>
      <c r="CD104" s="131"/>
      <c r="CE104" s="132"/>
      <c r="CF104" s="132"/>
      <c r="CG104" s="132"/>
      <c r="CH104" s="132"/>
      <c r="CI104" s="132"/>
      <c r="CJ104" s="129"/>
      <c r="CK104" s="130"/>
      <c r="CL104" s="131"/>
      <c r="CM104" s="132"/>
      <c r="CN104" s="132"/>
      <c r="CO104" s="132"/>
      <c r="CP104" s="129"/>
      <c r="CQ104" s="130"/>
      <c r="CR104" s="130"/>
      <c r="CS104" s="130"/>
      <c r="CT104" s="131"/>
      <c r="CU104" s="129"/>
      <c r="CV104" s="130"/>
      <c r="CW104" s="130"/>
      <c r="CX104" s="130"/>
      <c r="CY104" s="130"/>
      <c r="CZ104" s="131"/>
      <c r="DA104" s="129"/>
      <c r="DB104" s="130"/>
      <c r="DC104" s="130"/>
      <c r="DD104" s="130"/>
      <c r="DE104" s="131"/>
      <c r="DF104" s="129"/>
      <c r="DG104" s="130"/>
      <c r="DH104" s="130"/>
      <c r="DI104" s="130"/>
      <c r="DJ104" s="130"/>
      <c r="DK104" s="131"/>
      <c r="DL104" s="129"/>
      <c r="DM104" s="130"/>
      <c r="DN104" s="130"/>
      <c r="DO104" s="130"/>
      <c r="DP104" s="130"/>
      <c r="DQ104" s="131"/>
      <c r="DR104" s="129"/>
      <c r="DS104" s="130"/>
      <c r="DT104" s="130"/>
      <c r="DU104" s="130"/>
      <c r="DV104" s="130"/>
      <c r="DW104" s="131"/>
      <c r="DX104" s="129"/>
      <c r="DY104" s="130"/>
      <c r="DZ104" s="130"/>
      <c r="EA104" s="130"/>
      <c r="EB104" s="130"/>
      <c r="EC104" s="131"/>
      <c r="ED104" s="129"/>
      <c r="EE104" s="130"/>
      <c r="EF104" s="130"/>
      <c r="EG104" s="130"/>
      <c r="EH104" s="130"/>
      <c r="EI104" s="130"/>
      <c r="EJ104" s="129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3"/>
      <c r="FA104" s="132"/>
      <c r="FB104" s="132"/>
      <c r="FC104" s="132"/>
      <c r="FD104" s="132"/>
      <c r="FE104" s="132"/>
      <c r="FF104" s="129"/>
      <c r="FG104" s="130"/>
      <c r="FH104" s="130"/>
      <c r="FI104" s="130"/>
      <c r="FJ104" s="129"/>
      <c r="FK104" s="130"/>
      <c r="FL104" s="131"/>
      <c r="FM104" s="129"/>
    </row>
    <row r="105" spans="1:246">
      <c r="A105" s="95" t="s">
        <v>452</v>
      </c>
      <c r="B105" s="96" t="s">
        <v>458</v>
      </c>
      <c r="D105" s="95">
        <f t="shared" si="5"/>
        <v>2</v>
      </c>
      <c r="E105" s="129"/>
      <c r="F105" s="130"/>
      <c r="G105" s="130"/>
      <c r="H105" s="130"/>
      <c r="I105" s="130"/>
      <c r="J105" s="130"/>
      <c r="K105" s="131"/>
      <c r="L105" s="129"/>
      <c r="M105" s="130"/>
      <c r="N105" s="130"/>
      <c r="O105" s="131"/>
      <c r="P105" s="129"/>
      <c r="Q105" s="130"/>
      <c r="R105" s="130"/>
      <c r="S105" s="130"/>
      <c r="T105" s="130"/>
      <c r="U105" s="131"/>
      <c r="V105" s="129"/>
      <c r="W105" s="130"/>
      <c r="X105" s="130"/>
      <c r="Y105" s="130"/>
      <c r="Z105" s="130"/>
      <c r="AA105" s="130"/>
      <c r="AB105" s="131"/>
      <c r="AC105" s="129"/>
      <c r="AD105" s="130"/>
      <c r="AE105" s="130"/>
      <c r="AF105" s="130"/>
      <c r="AG105" s="130"/>
      <c r="AH105" s="131"/>
      <c r="AI105" s="129"/>
      <c r="AJ105" s="130"/>
      <c r="AK105" s="130"/>
      <c r="AL105" s="130"/>
      <c r="AM105" s="130"/>
      <c r="AN105" s="130"/>
      <c r="AO105" s="131"/>
      <c r="AP105" s="129"/>
      <c r="AQ105" s="130"/>
      <c r="AR105" s="130"/>
      <c r="AS105" s="131"/>
      <c r="AT105" s="129"/>
      <c r="AU105" s="130"/>
      <c r="AV105" s="130"/>
      <c r="AW105" s="130"/>
      <c r="AX105" s="130"/>
      <c r="AY105" s="131"/>
      <c r="AZ105" s="129"/>
      <c r="BA105" s="130"/>
      <c r="BB105" s="130"/>
      <c r="BC105" s="130"/>
      <c r="BD105" s="130"/>
      <c r="BE105" s="130"/>
      <c r="BF105" s="131"/>
      <c r="BG105" s="129"/>
      <c r="BH105" s="130"/>
      <c r="BI105" s="130"/>
      <c r="BJ105" s="130"/>
      <c r="BK105" s="131"/>
      <c r="BL105" s="129"/>
      <c r="BM105" s="130"/>
      <c r="BN105" s="130"/>
      <c r="BO105" s="130"/>
      <c r="BP105" s="130"/>
      <c r="BQ105" s="130"/>
      <c r="BR105" s="130"/>
      <c r="BS105" s="131"/>
      <c r="BT105" s="132"/>
      <c r="BU105" s="132"/>
      <c r="BV105" s="132"/>
      <c r="BW105" s="132"/>
      <c r="BX105" s="132"/>
      <c r="BY105" s="129"/>
      <c r="BZ105" s="130"/>
      <c r="CA105" s="130"/>
      <c r="CB105" s="130"/>
      <c r="CC105" s="130"/>
      <c r="CD105" s="131"/>
      <c r="CE105" s="132"/>
      <c r="CF105" s="132"/>
      <c r="CG105" s="132"/>
      <c r="CH105" s="132"/>
      <c r="CI105" s="132"/>
      <c r="CJ105" s="129"/>
      <c r="CK105" s="130"/>
      <c r="CL105" s="131"/>
      <c r="CM105" s="132"/>
      <c r="CN105" s="132"/>
      <c r="CO105" s="132"/>
      <c r="CP105" s="129"/>
      <c r="CQ105" s="130"/>
      <c r="CR105" s="130"/>
      <c r="CS105" s="130"/>
      <c r="CT105" s="131"/>
      <c r="CU105" s="129"/>
      <c r="CV105" s="130"/>
      <c r="CW105" s="130"/>
      <c r="CX105" s="130"/>
      <c r="CY105" s="130"/>
      <c r="CZ105" s="131"/>
      <c r="DA105" s="129"/>
      <c r="DB105" s="130"/>
      <c r="DC105" s="130"/>
      <c r="DD105" s="130"/>
      <c r="DE105" s="131"/>
      <c r="DF105" s="129"/>
      <c r="DG105" s="130"/>
      <c r="DH105" s="130"/>
      <c r="DI105" s="130"/>
      <c r="DJ105" s="130"/>
      <c r="DK105" s="131"/>
      <c r="DL105" s="129"/>
      <c r="DM105" s="130"/>
      <c r="DN105" s="130"/>
      <c r="DO105" s="130"/>
      <c r="DP105" s="130"/>
      <c r="DQ105" s="131"/>
      <c r="DR105" s="129"/>
      <c r="DS105" s="130"/>
      <c r="DT105" s="130"/>
      <c r="DU105" s="130"/>
      <c r="DV105" s="130"/>
      <c r="DW105" s="131"/>
      <c r="DX105" s="129"/>
      <c r="DY105" s="130"/>
      <c r="DZ105" s="130"/>
      <c r="EA105" s="130"/>
      <c r="EB105" s="130"/>
      <c r="EC105" s="131"/>
      <c r="ED105" s="129"/>
      <c r="EE105" s="130"/>
      <c r="EF105" s="130"/>
      <c r="EG105" s="130"/>
      <c r="EH105" s="130"/>
      <c r="EI105" s="130"/>
      <c r="EJ105" s="129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3"/>
      <c r="FA105" s="132"/>
      <c r="FB105" s="132"/>
      <c r="FC105" s="132"/>
      <c r="FD105" s="132"/>
      <c r="FE105" s="132"/>
      <c r="FF105" s="129"/>
      <c r="FG105" s="130"/>
      <c r="FH105" s="130"/>
      <c r="FI105" s="130"/>
      <c r="FJ105" s="129"/>
      <c r="FK105" s="130"/>
      <c r="FL105" s="131"/>
      <c r="FM105" s="129"/>
      <c r="GV105" s="97" t="s">
        <v>149</v>
      </c>
      <c r="GX105" s="97" t="s">
        <v>149</v>
      </c>
    </row>
    <row r="106" spans="1:246">
      <c r="A106" s="95" t="s">
        <v>452</v>
      </c>
      <c r="B106" s="96" t="s">
        <v>459</v>
      </c>
      <c r="D106" s="95">
        <f t="shared" si="5"/>
        <v>2</v>
      </c>
      <c r="E106" s="129"/>
      <c r="F106" s="130"/>
      <c r="G106" s="130"/>
      <c r="H106" s="130"/>
      <c r="I106" s="130"/>
      <c r="J106" s="130"/>
      <c r="K106" s="131"/>
      <c r="L106" s="129"/>
      <c r="M106" s="130"/>
      <c r="N106" s="130"/>
      <c r="O106" s="131"/>
      <c r="P106" s="129"/>
      <c r="Q106" s="130"/>
      <c r="R106" s="130"/>
      <c r="S106" s="130"/>
      <c r="T106" s="130"/>
      <c r="U106" s="131"/>
      <c r="V106" s="129"/>
      <c r="W106" s="130"/>
      <c r="X106" s="130"/>
      <c r="Y106" s="130"/>
      <c r="Z106" s="130"/>
      <c r="AA106" s="130"/>
      <c r="AB106" s="131"/>
      <c r="AC106" s="129"/>
      <c r="AD106" s="130"/>
      <c r="AE106" s="130"/>
      <c r="AF106" s="130"/>
      <c r="AG106" s="130"/>
      <c r="AH106" s="131"/>
      <c r="AI106" s="129"/>
      <c r="AJ106" s="130"/>
      <c r="AK106" s="130"/>
      <c r="AL106" s="130"/>
      <c r="AM106" s="130"/>
      <c r="AN106" s="130"/>
      <c r="AO106" s="131"/>
      <c r="AP106" s="129"/>
      <c r="AQ106" s="130"/>
      <c r="AR106" s="130"/>
      <c r="AS106" s="131"/>
      <c r="AT106" s="129"/>
      <c r="AU106" s="130"/>
      <c r="AV106" s="130"/>
      <c r="AW106" s="130"/>
      <c r="AX106" s="130"/>
      <c r="AY106" s="131"/>
      <c r="AZ106" s="129"/>
      <c r="BA106" s="130"/>
      <c r="BB106" s="130"/>
      <c r="BC106" s="130"/>
      <c r="BD106" s="130"/>
      <c r="BE106" s="130"/>
      <c r="BF106" s="131"/>
      <c r="BG106" s="129"/>
      <c r="BH106" s="130"/>
      <c r="BI106" s="130"/>
      <c r="BJ106" s="130"/>
      <c r="BK106" s="131"/>
      <c r="BL106" s="129"/>
      <c r="BM106" s="130"/>
      <c r="BN106" s="130"/>
      <c r="BO106" s="130"/>
      <c r="BP106" s="130"/>
      <c r="BQ106" s="130"/>
      <c r="BR106" s="130"/>
      <c r="BS106" s="131"/>
      <c r="BT106" s="132"/>
      <c r="BU106" s="132"/>
      <c r="BV106" s="132"/>
      <c r="BW106" s="132"/>
      <c r="BX106" s="132"/>
      <c r="BY106" s="129"/>
      <c r="BZ106" s="130"/>
      <c r="CA106" s="130"/>
      <c r="CB106" s="130"/>
      <c r="CC106" s="130"/>
      <c r="CD106" s="131"/>
      <c r="CE106" s="132"/>
      <c r="CF106" s="132"/>
      <c r="CG106" s="132"/>
      <c r="CH106" s="132"/>
      <c r="CI106" s="132"/>
      <c r="CJ106" s="129"/>
      <c r="CK106" s="130"/>
      <c r="CL106" s="131"/>
      <c r="CM106" s="132"/>
      <c r="CN106" s="132"/>
      <c r="CO106" s="132"/>
      <c r="CP106" s="129"/>
      <c r="CQ106" s="130"/>
      <c r="CR106" s="130"/>
      <c r="CS106" s="130"/>
      <c r="CT106" s="131"/>
      <c r="CU106" s="129"/>
      <c r="CV106" s="130"/>
      <c r="CW106" s="130"/>
      <c r="CX106" s="130"/>
      <c r="CY106" s="130"/>
      <c r="CZ106" s="131"/>
      <c r="DA106" s="129"/>
      <c r="DB106" s="130"/>
      <c r="DC106" s="130"/>
      <c r="DD106" s="130"/>
      <c r="DE106" s="131"/>
      <c r="DF106" s="129"/>
      <c r="DG106" s="130"/>
      <c r="DH106" s="130"/>
      <c r="DI106" s="130"/>
      <c r="DJ106" s="130"/>
      <c r="DK106" s="131"/>
      <c r="DL106" s="129"/>
      <c r="DM106" s="130"/>
      <c r="DN106" s="130"/>
      <c r="DO106" s="130"/>
      <c r="DP106" s="130"/>
      <c r="DQ106" s="131"/>
      <c r="DR106" s="129"/>
      <c r="DS106" s="130"/>
      <c r="DT106" s="130"/>
      <c r="DU106" s="130"/>
      <c r="DV106" s="130"/>
      <c r="DW106" s="131"/>
      <c r="DX106" s="129"/>
      <c r="DY106" s="130"/>
      <c r="DZ106" s="130"/>
      <c r="EA106" s="130"/>
      <c r="EB106" s="130"/>
      <c r="EC106" s="131"/>
      <c r="ED106" s="129"/>
      <c r="EE106" s="130"/>
      <c r="EF106" s="130"/>
      <c r="EG106" s="130"/>
      <c r="EH106" s="130"/>
      <c r="EI106" s="130"/>
      <c r="EJ106" s="129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3"/>
      <c r="FA106" s="132"/>
      <c r="FB106" s="132"/>
      <c r="FC106" s="132"/>
      <c r="FD106" s="132"/>
      <c r="FE106" s="132"/>
      <c r="FF106" s="129"/>
      <c r="FG106" s="130"/>
      <c r="FH106" s="130"/>
      <c r="FI106" s="130"/>
      <c r="FJ106" s="129"/>
      <c r="FK106" s="130"/>
      <c r="FL106" s="131"/>
      <c r="FM106" s="129"/>
      <c r="GX106" s="97" t="s">
        <v>149</v>
      </c>
      <c r="GY106" s="97" t="s">
        <v>149</v>
      </c>
    </row>
    <row r="107" spans="1:246">
      <c r="A107" s="95" t="s">
        <v>452</v>
      </c>
      <c r="B107" s="96" t="s">
        <v>460</v>
      </c>
      <c r="D107" s="95">
        <f t="shared" si="5"/>
        <v>1</v>
      </c>
      <c r="E107" s="129"/>
      <c r="F107" s="130"/>
      <c r="G107" s="130"/>
      <c r="H107" s="130"/>
      <c r="I107" s="130"/>
      <c r="J107" s="130"/>
      <c r="K107" s="131"/>
      <c r="L107" s="129"/>
      <c r="M107" s="130"/>
      <c r="N107" s="130"/>
      <c r="O107" s="131"/>
      <c r="P107" s="129"/>
      <c r="Q107" s="130"/>
      <c r="R107" s="130"/>
      <c r="S107" s="130"/>
      <c r="T107" s="130"/>
      <c r="U107" s="131"/>
      <c r="V107" s="129"/>
      <c r="W107" s="130"/>
      <c r="X107" s="130"/>
      <c r="Y107" s="130"/>
      <c r="Z107" s="130"/>
      <c r="AA107" s="130"/>
      <c r="AB107" s="131"/>
      <c r="AC107" s="129"/>
      <c r="AD107" s="130"/>
      <c r="AE107" s="130"/>
      <c r="AF107" s="130"/>
      <c r="AG107" s="130"/>
      <c r="AH107" s="131"/>
      <c r="AI107" s="129"/>
      <c r="AJ107" s="130"/>
      <c r="AK107" s="130"/>
      <c r="AL107" s="130"/>
      <c r="AM107" s="130"/>
      <c r="AN107" s="130"/>
      <c r="AO107" s="131"/>
      <c r="AP107" s="129"/>
      <c r="AQ107" s="130"/>
      <c r="AR107" s="130"/>
      <c r="AS107" s="131"/>
      <c r="AT107" s="129"/>
      <c r="AU107" s="130"/>
      <c r="AV107" s="130"/>
      <c r="AW107" s="130"/>
      <c r="AX107" s="130"/>
      <c r="AY107" s="131"/>
      <c r="AZ107" s="129"/>
      <c r="BA107" s="130"/>
      <c r="BB107" s="130"/>
      <c r="BC107" s="130"/>
      <c r="BD107" s="130"/>
      <c r="BE107" s="130"/>
      <c r="BF107" s="131"/>
      <c r="BG107" s="129"/>
      <c r="BH107" s="130"/>
      <c r="BI107" s="130"/>
      <c r="BJ107" s="130"/>
      <c r="BK107" s="131"/>
      <c r="BL107" s="129"/>
      <c r="BM107" s="130"/>
      <c r="BN107" s="130"/>
      <c r="BO107" s="130"/>
      <c r="BP107" s="130"/>
      <c r="BQ107" s="130"/>
      <c r="BR107" s="130"/>
      <c r="BS107" s="131"/>
      <c r="BT107" s="132"/>
      <c r="BU107" s="132"/>
      <c r="BV107" s="132"/>
      <c r="BW107" s="132"/>
      <c r="BX107" s="132"/>
      <c r="BY107" s="129"/>
      <c r="BZ107" s="130"/>
      <c r="CA107" s="130"/>
      <c r="CB107" s="130"/>
      <c r="CC107" s="130"/>
      <c r="CD107" s="131"/>
      <c r="CE107" s="132"/>
      <c r="CF107" s="132"/>
      <c r="CG107" s="132"/>
      <c r="CH107" s="132"/>
      <c r="CI107" s="132"/>
      <c r="CJ107" s="129"/>
      <c r="CK107" s="130"/>
      <c r="CL107" s="131"/>
      <c r="CM107" s="132"/>
      <c r="CN107" s="132"/>
      <c r="CO107" s="132"/>
      <c r="CP107" s="129"/>
      <c r="CQ107" s="130"/>
      <c r="CR107" s="130"/>
      <c r="CS107" s="130"/>
      <c r="CT107" s="131"/>
      <c r="CU107" s="129"/>
      <c r="CV107" s="130"/>
      <c r="CW107" s="130"/>
      <c r="CX107" s="130"/>
      <c r="CY107" s="130"/>
      <c r="CZ107" s="131"/>
      <c r="DA107" s="129"/>
      <c r="DB107" s="130"/>
      <c r="DC107" s="130"/>
      <c r="DD107" s="130"/>
      <c r="DE107" s="131"/>
      <c r="DF107" s="129"/>
      <c r="DG107" s="130"/>
      <c r="DH107" s="130"/>
      <c r="DI107" s="130"/>
      <c r="DJ107" s="130"/>
      <c r="DK107" s="131"/>
      <c r="DL107" s="129"/>
      <c r="DM107" s="130"/>
      <c r="DN107" s="130"/>
      <c r="DO107" s="130"/>
      <c r="DP107" s="130"/>
      <c r="DQ107" s="131"/>
      <c r="DR107" s="129"/>
      <c r="DS107" s="130"/>
      <c r="DT107" s="130"/>
      <c r="DU107" s="130"/>
      <c r="DV107" s="130"/>
      <c r="DW107" s="131"/>
      <c r="DX107" s="129"/>
      <c r="DY107" s="130"/>
      <c r="DZ107" s="130"/>
      <c r="EA107" s="130"/>
      <c r="EB107" s="130"/>
      <c r="EC107" s="131"/>
      <c r="ED107" s="129"/>
      <c r="EE107" s="130"/>
      <c r="EF107" s="130"/>
      <c r="EG107" s="130"/>
      <c r="EH107" s="130"/>
      <c r="EI107" s="130"/>
      <c r="EJ107" s="129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3"/>
      <c r="FA107" s="132"/>
      <c r="FB107" s="132"/>
      <c r="FC107" s="132"/>
      <c r="FD107" s="132"/>
      <c r="FE107" s="132"/>
      <c r="FF107" s="129"/>
      <c r="FG107" s="130"/>
      <c r="FH107" s="130"/>
      <c r="FI107" s="130"/>
      <c r="FJ107" s="129"/>
      <c r="FK107" s="130"/>
      <c r="FL107" s="131"/>
      <c r="FM107" s="129"/>
      <c r="GX107" s="97" t="s">
        <v>149</v>
      </c>
    </row>
    <row r="108" spans="1:246">
      <c r="A108" s="95" t="s">
        <v>519</v>
      </c>
      <c r="B108" s="96" t="s">
        <v>532</v>
      </c>
      <c r="D108" s="95">
        <f t="shared" si="5"/>
        <v>2</v>
      </c>
      <c r="E108" s="129"/>
      <c r="F108" s="130"/>
      <c r="G108" s="130"/>
      <c r="H108" s="130"/>
      <c r="I108" s="130"/>
      <c r="J108" s="130"/>
      <c r="K108" s="131"/>
      <c r="L108" s="129"/>
      <c r="M108" s="130"/>
      <c r="N108" s="130"/>
      <c r="O108" s="131"/>
      <c r="P108" s="129"/>
      <c r="Q108" s="130"/>
      <c r="R108" s="130"/>
      <c r="S108" s="130"/>
      <c r="T108" s="130"/>
      <c r="U108" s="131"/>
      <c r="V108" s="129"/>
      <c r="W108" s="130"/>
      <c r="X108" s="130"/>
      <c r="Y108" s="130"/>
      <c r="Z108" s="130"/>
      <c r="AA108" s="130"/>
      <c r="AB108" s="131"/>
      <c r="AC108" s="129"/>
      <c r="AD108" s="130"/>
      <c r="AE108" s="130"/>
      <c r="AF108" s="130"/>
      <c r="AG108" s="130"/>
      <c r="AH108" s="131"/>
      <c r="AI108" s="129"/>
      <c r="AJ108" s="130"/>
      <c r="AK108" s="130"/>
      <c r="AL108" s="130"/>
      <c r="AM108" s="130"/>
      <c r="AN108" s="130"/>
      <c r="AO108" s="131"/>
      <c r="AP108" s="129"/>
      <c r="AQ108" s="130"/>
      <c r="AR108" s="130"/>
      <c r="AS108" s="131"/>
      <c r="AT108" s="129"/>
      <c r="AU108" s="130"/>
      <c r="AV108" s="130"/>
      <c r="AW108" s="130"/>
      <c r="AX108" s="130"/>
      <c r="AY108" s="131"/>
      <c r="AZ108" s="129"/>
      <c r="BA108" s="130"/>
      <c r="BB108" s="130"/>
      <c r="BC108" s="130"/>
      <c r="BD108" s="130"/>
      <c r="BE108" s="130"/>
      <c r="BF108" s="131"/>
      <c r="BG108" s="129"/>
      <c r="BH108" s="130"/>
      <c r="BI108" s="130"/>
      <c r="BJ108" s="130"/>
      <c r="BK108" s="131"/>
      <c r="BL108" s="129"/>
      <c r="BM108" s="130"/>
      <c r="BN108" s="130"/>
      <c r="BO108" s="130"/>
      <c r="BP108" s="130"/>
      <c r="BQ108" s="130"/>
      <c r="BR108" s="130"/>
      <c r="BS108" s="131"/>
      <c r="BT108" s="132"/>
      <c r="BU108" s="132"/>
      <c r="BV108" s="132"/>
      <c r="BW108" s="132"/>
      <c r="BX108" s="132"/>
      <c r="BY108" s="129"/>
      <c r="BZ108" s="130"/>
      <c r="CA108" s="130"/>
      <c r="CB108" s="130"/>
      <c r="CC108" s="130"/>
      <c r="CD108" s="131"/>
      <c r="CE108" s="132"/>
      <c r="CF108" s="132"/>
      <c r="CG108" s="132"/>
      <c r="CH108" s="132"/>
      <c r="CI108" s="132"/>
      <c r="CJ108" s="129"/>
      <c r="CK108" s="130"/>
      <c r="CL108" s="131"/>
      <c r="CM108" s="132"/>
      <c r="CN108" s="132"/>
      <c r="CO108" s="132"/>
      <c r="CP108" s="129"/>
      <c r="CQ108" s="130"/>
      <c r="CR108" s="130"/>
      <c r="CS108" s="130"/>
      <c r="CT108" s="131"/>
      <c r="CU108" s="129"/>
      <c r="CV108" s="130"/>
      <c r="CW108" s="130"/>
      <c r="CX108" s="130"/>
      <c r="CY108" s="130"/>
      <c r="CZ108" s="131"/>
      <c r="DA108" s="129"/>
      <c r="DB108" s="130"/>
      <c r="DC108" s="130"/>
      <c r="DD108" s="130"/>
      <c r="DE108" s="131"/>
      <c r="DF108" s="129"/>
      <c r="DG108" s="130"/>
      <c r="DH108" s="130"/>
      <c r="DI108" s="130"/>
      <c r="DJ108" s="130"/>
      <c r="DK108" s="131"/>
      <c r="DL108" s="129"/>
      <c r="DM108" s="130"/>
      <c r="DN108" s="130"/>
      <c r="DO108" s="130"/>
      <c r="DP108" s="130"/>
      <c r="DQ108" s="131"/>
      <c r="DR108" s="129"/>
      <c r="DS108" s="130"/>
      <c r="DT108" s="130"/>
      <c r="DU108" s="130"/>
      <c r="DV108" s="130"/>
      <c r="DW108" s="131"/>
      <c r="DX108" s="129"/>
      <c r="DY108" s="130"/>
      <c r="DZ108" s="130"/>
      <c r="EA108" s="130"/>
      <c r="EB108" s="130"/>
      <c r="EC108" s="131"/>
      <c r="ED108" s="129"/>
      <c r="EE108" s="130"/>
      <c r="EF108" s="130"/>
      <c r="EG108" s="130"/>
      <c r="EH108" s="130"/>
      <c r="EI108" s="130"/>
      <c r="EJ108" s="129"/>
      <c r="EK108" s="130"/>
      <c r="EL108" s="130"/>
      <c r="EM108" s="130"/>
      <c r="EN108" s="130"/>
      <c r="EO108" s="130"/>
      <c r="EP108" s="130"/>
      <c r="EQ108" s="130"/>
      <c r="ER108" s="130"/>
      <c r="ES108" s="130"/>
      <c r="ET108" s="130"/>
      <c r="EU108" s="130"/>
      <c r="EV108" s="130"/>
      <c r="EW108" s="130"/>
      <c r="EX108" s="130"/>
      <c r="EY108" s="130"/>
      <c r="EZ108" s="133"/>
      <c r="FA108" s="132"/>
      <c r="FB108" s="132"/>
      <c r="FC108" s="132"/>
      <c r="FD108" s="132"/>
      <c r="FE108" s="132"/>
      <c r="FF108" s="129"/>
      <c r="FG108" s="130"/>
      <c r="FH108" s="130"/>
      <c r="FI108" s="130"/>
      <c r="FJ108" s="129"/>
      <c r="FK108" s="130"/>
      <c r="FL108" s="131"/>
      <c r="FM108" s="129"/>
      <c r="IK108" s="97" t="s">
        <v>149</v>
      </c>
      <c r="IL108" s="98" t="s">
        <v>149</v>
      </c>
    </row>
    <row r="109" spans="1:246">
      <c r="A109" s="95" t="s">
        <v>519</v>
      </c>
      <c r="B109" s="96" t="s">
        <v>533</v>
      </c>
      <c r="D109" s="95">
        <f t="shared" si="5"/>
        <v>2</v>
      </c>
      <c r="E109" s="129"/>
      <c r="F109" s="130"/>
      <c r="G109" s="130"/>
      <c r="H109" s="130"/>
      <c r="I109" s="130"/>
      <c r="J109" s="130"/>
      <c r="K109" s="131"/>
      <c r="L109" s="129"/>
      <c r="M109" s="130"/>
      <c r="N109" s="130"/>
      <c r="O109" s="131"/>
      <c r="P109" s="129"/>
      <c r="Q109" s="130"/>
      <c r="R109" s="130"/>
      <c r="S109" s="130"/>
      <c r="T109" s="130"/>
      <c r="U109" s="131"/>
      <c r="V109" s="129"/>
      <c r="W109" s="130"/>
      <c r="X109" s="130"/>
      <c r="Y109" s="130"/>
      <c r="Z109" s="130"/>
      <c r="AA109" s="130"/>
      <c r="AB109" s="131"/>
      <c r="AC109" s="129"/>
      <c r="AD109" s="130"/>
      <c r="AE109" s="130"/>
      <c r="AF109" s="130"/>
      <c r="AG109" s="130"/>
      <c r="AH109" s="131"/>
      <c r="AI109" s="129"/>
      <c r="AJ109" s="130"/>
      <c r="AK109" s="130"/>
      <c r="AL109" s="130"/>
      <c r="AM109" s="130"/>
      <c r="AN109" s="130"/>
      <c r="AO109" s="131"/>
      <c r="AP109" s="129"/>
      <c r="AQ109" s="130"/>
      <c r="AR109" s="130"/>
      <c r="AS109" s="131"/>
      <c r="AT109" s="129"/>
      <c r="AU109" s="130"/>
      <c r="AV109" s="130"/>
      <c r="AW109" s="130"/>
      <c r="AX109" s="130"/>
      <c r="AY109" s="131"/>
      <c r="AZ109" s="129"/>
      <c r="BA109" s="130"/>
      <c r="BB109" s="130"/>
      <c r="BC109" s="130"/>
      <c r="BD109" s="130"/>
      <c r="BE109" s="130"/>
      <c r="BF109" s="131"/>
      <c r="BG109" s="129"/>
      <c r="BH109" s="130"/>
      <c r="BI109" s="130"/>
      <c r="BJ109" s="130"/>
      <c r="BK109" s="131"/>
      <c r="BL109" s="129"/>
      <c r="BM109" s="130"/>
      <c r="BN109" s="130"/>
      <c r="BO109" s="130"/>
      <c r="BP109" s="130"/>
      <c r="BQ109" s="130"/>
      <c r="BR109" s="130"/>
      <c r="BS109" s="131"/>
      <c r="BT109" s="132"/>
      <c r="BU109" s="132"/>
      <c r="BV109" s="132"/>
      <c r="BW109" s="132"/>
      <c r="BX109" s="132"/>
      <c r="BY109" s="129"/>
      <c r="BZ109" s="130"/>
      <c r="CA109" s="130"/>
      <c r="CB109" s="130"/>
      <c r="CC109" s="130"/>
      <c r="CD109" s="131"/>
      <c r="CE109" s="132"/>
      <c r="CF109" s="132"/>
      <c r="CG109" s="132"/>
      <c r="CH109" s="132"/>
      <c r="CI109" s="132"/>
      <c r="CJ109" s="129"/>
      <c r="CK109" s="130"/>
      <c r="CL109" s="131"/>
      <c r="CM109" s="132"/>
      <c r="CN109" s="132"/>
      <c r="CO109" s="132"/>
      <c r="CP109" s="129"/>
      <c r="CQ109" s="130"/>
      <c r="CR109" s="130"/>
      <c r="CS109" s="130"/>
      <c r="CT109" s="131"/>
      <c r="CU109" s="129"/>
      <c r="CV109" s="130"/>
      <c r="CW109" s="130"/>
      <c r="CX109" s="130"/>
      <c r="CY109" s="130"/>
      <c r="CZ109" s="131"/>
      <c r="DA109" s="129"/>
      <c r="DB109" s="130"/>
      <c r="DC109" s="130"/>
      <c r="DD109" s="130"/>
      <c r="DE109" s="131"/>
      <c r="DF109" s="129"/>
      <c r="DG109" s="130"/>
      <c r="DH109" s="130"/>
      <c r="DI109" s="130"/>
      <c r="DJ109" s="130"/>
      <c r="DK109" s="131"/>
      <c r="DL109" s="129"/>
      <c r="DM109" s="130"/>
      <c r="DN109" s="130"/>
      <c r="DO109" s="130"/>
      <c r="DP109" s="130"/>
      <c r="DQ109" s="131"/>
      <c r="DR109" s="129"/>
      <c r="DS109" s="130"/>
      <c r="DT109" s="130"/>
      <c r="DU109" s="130"/>
      <c r="DV109" s="130"/>
      <c r="DW109" s="131"/>
      <c r="DX109" s="129"/>
      <c r="DY109" s="130"/>
      <c r="DZ109" s="130"/>
      <c r="EA109" s="130"/>
      <c r="EB109" s="130"/>
      <c r="EC109" s="131"/>
      <c r="ED109" s="129"/>
      <c r="EE109" s="130"/>
      <c r="EF109" s="130"/>
      <c r="EG109" s="130"/>
      <c r="EH109" s="130"/>
      <c r="EI109" s="130"/>
      <c r="EJ109" s="129"/>
      <c r="EK109" s="130"/>
      <c r="EL109" s="130"/>
      <c r="EM109" s="130"/>
      <c r="EN109" s="130"/>
      <c r="EO109" s="130"/>
      <c r="EP109" s="130"/>
      <c r="EQ109" s="130"/>
      <c r="ER109" s="130"/>
      <c r="ES109" s="130"/>
      <c r="ET109" s="130"/>
      <c r="EU109" s="130"/>
      <c r="EV109" s="130"/>
      <c r="EW109" s="130"/>
      <c r="EX109" s="130"/>
      <c r="EY109" s="130"/>
      <c r="EZ109" s="133"/>
      <c r="FA109" s="132"/>
      <c r="FB109" s="132"/>
      <c r="FC109" s="132"/>
      <c r="FD109" s="132"/>
      <c r="FE109" s="132"/>
      <c r="FF109" s="129"/>
      <c r="FG109" s="130"/>
      <c r="FH109" s="130"/>
      <c r="FI109" s="130"/>
      <c r="FJ109" s="129"/>
      <c r="FK109" s="130"/>
      <c r="FL109" s="131"/>
      <c r="FM109" s="129"/>
      <c r="IK109" s="97" t="s">
        <v>149</v>
      </c>
      <c r="IL109" s="98" t="s">
        <v>149</v>
      </c>
    </row>
    <row r="110" spans="1:246">
      <c r="A110" s="95" t="s">
        <v>519</v>
      </c>
      <c r="B110" s="96" t="s">
        <v>534</v>
      </c>
      <c r="D110" s="95">
        <f t="shared" si="5"/>
        <v>2</v>
      </c>
      <c r="E110" s="129"/>
      <c r="F110" s="130"/>
      <c r="G110" s="130"/>
      <c r="H110" s="130"/>
      <c r="I110" s="130"/>
      <c r="J110" s="130"/>
      <c r="K110" s="131"/>
      <c r="L110" s="129"/>
      <c r="M110" s="130"/>
      <c r="N110" s="130"/>
      <c r="O110" s="131"/>
      <c r="P110" s="129"/>
      <c r="Q110" s="130"/>
      <c r="R110" s="130"/>
      <c r="S110" s="130"/>
      <c r="T110" s="130"/>
      <c r="U110" s="131"/>
      <c r="V110" s="129"/>
      <c r="W110" s="130"/>
      <c r="X110" s="130"/>
      <c r="Y110" s="130"/>
      <c r="Z110" s="130"/>
      <c r="AA110" s="130"/>
      <c r="AB110" s="131"/>
      <c r="AC110" s="129"/>
      <c r="AD110" s="130"/>
      <c r="AE110" s="130"/>
      <c r="AF110" s="130"/>
      <c r="AG110" s="130"/>
      <c r="AH110" s="131"/>
      <c r="AI110" s="129"/>
      <c r="AJ110" s="130"/>
      <c r="AK110" s="130"/>
      <c r="AL110" s="130"/>
      <c r="AM110" s="130"/>
      <c r="AN110" s="130"/>
      <c r="AO110" s="131"/>
      <c r="AP110" s="129"/>
      <c r="AQ110" s="130"/>
      <c r="AR110" s="130"/>
      <c r="AS110" s="131"/>
      <c r="AT110" s="129"/>
      <c r="AU110" s="130"/>
      <c r="AV110" s="130"/>
      <c r="AW110" s="130"/>
      <c r="AX110" s="130"/>
      <c r="AY110" s="131"/>
      <c r="AZ110" s="129"/>
      <c r="BA110" s="130"/>
      <c r="BB110" s="130"/>
      <c r="BC110" s="130"/>
      <c r="BD110" s="130"/>
      <c r="BE110" s="130"/>
      <c r="BF110" s="131"/>
      <c r="BG110" s="129"/>
      <c r="BH110" s="130"/>
      <c r="BI110" s="130"/>
      <c r="BJ110" s="130"/>
      <c r="BK110" s="131"/>
      <c r="BL110" s="129"/>
      <c r="BM110" s="130"/>
      <c r="BN110" s="130"/>
      <c r="BO110" s="130"/>
      <c r="BP110" s="130"/>
      <c r="BQ110" s="130"/>
      <c r="BR110" s="130"/>
      <c r="BS110" s="131"/>
      <c r="BT110" s="132"/>
      <c r="BU110" s="132"/>
      <c r="BV110" s="132"/>
      <c r="BW110" s="132"/>
      <c r="BX110" s="132"/>
      <c r="BY110" s="129"/>
      <c r="BZ110" s="130"/>
      <c r="CA110" s="130"/>
      <c r="CB110" s="130"/>
      <c r="CC110" s="130"/>
      <c r="CD110" s="131"/>
      <c r="CE110" s="132"/>
      <c r="CF110" s="132"/>
      <c r="CG110" s="132"/>
      <c r="CH110" s="132"/>
      <c r="CI110" s="132"/>
      <c r="CJ110" s="129"/>
      <c r="CK110" s="130"/>
      <c r="CL110" s="131"/>
      <c r="CM110" s="132"/>
      <c r="CN110" s="132"/>
      <c r="CO110" s="132"/>
      <c r="CP110" s="129"/>
      <c r="CQ110" s="130"/>
      <c r="CR110" s="130"/>
      <c r="CS110" s="130"/>
      <c r="CT110" s="131"/>
      <c r="CU110" s="129"/>
      <c r="CV110" s="130"/>
      <c r="CW110" s="130"/>
      <c r="CX110" s="130"/>
      <c r="CY110" s="130"/>
      <c r="CZ110" s="131"/>
      <c r="DA110" s="129"/>
      <c r="DB110" s="130"/>
      <c r="DC110" s="130"/>
      <c r="DD110" s="130"/>
      <c r="DE110" s="131"/>
      <c r="DF110" s="129"/>
      <c r="DG110" s="130"/>
      <c r="DH110" s="130"/>
      <c r="DI110" s="130"/>
      <c r="DJ110" s="130"/>
      <c r="DK110" s="131"/>
      <c r="DL110" s="129"/>
      <c r="DM110" s="130"/>
      <c r="DN110" s="130"/>
      <c r="DO110" s="130"/>
      <c r="DP110" s="130"/>
      <c r="DQ110" s="131"/>
      <c r="DR110" s="129"/>
      <c r="DS110" s="130"/>
      <c r="DT110" s="130"/>
      <c r="DU110" s="130"/>
      <c r="DV110" s="130"/>
      <c r="DW110" s="131"/>
      <c r="DX110" s="129"/>
      <c r="DY110" s="130"/>
      <c r="DZ110" s="130"/>
      <c r="EA110" s="130"/>
      <c r="EB110" s="130"/>
      <c r="EC110" s="131"/>
      <c r="ED110" s="129"/>
      <c r="EE110" s="130"/>
      <c r="EF110" s="130"/>
      <c r="EG110" s="130"/>
      <c r="EH110" s="130"/>
      <c r="EI110" s="130"/>
      <c r="EJ110" s="129"/>
      <c r="EK110" s="130"/>
      <c r="EL110" s="130"/>
      <c r="EM110" s="130"/>
      <c r="EN110" s="130"/>
      <c r="EO110" s="130"/>
      <c r="EP110" s="130"/>
      <c r="EQ110" s="130"/>
      <c r="ER110" s="130"/>
      <c r="ES110" s="130"/>
      <c r="ET110" s="130"/>
      <c r="EU110" s="130"/>
      <c r="EV110" s="130"/>
      <c r="EW110" s="130"/>
      <c r="EX110" s="130"/>
      <c r="EY110" s="130"/>
      <c r="EZ110" s="133"/>
      <c r="FA110" s="132"/>
      <c r="FB110" s="132"/>
      <c r="FC110" s="132"/>
      <c r="FD110" s="132"/>
      <c r="FE110" s="132"/>
      <c r="FF110" s="129"/>
      <c r="FG110" s="130"/>
      <c r="FH110" s="130"/>
      <c r="FI110" s="130"/>
      <c r="FJ110" s="129"/>
      <c r="FK110" s="130"/>
      <c r="FL110" s="131"/>
      <c r="FM110" s="129"/>
      <c r="IK110" s="97" t="s">
        <v>149</v>
      </c>
      <c r="IL110" s="98" t="s">
        <v>149</v>
      </c>
    </row>
    <row r="111" spans="1:246">
      <c r="A111" s="95" t="s">
        <v>519</v>
      </c>
      <c r="B111" s="96" t="s">
        <v>535</v>
      </c>
      <c r="D111" s="95">
        <f t="shared" si="5"/>
        <v>0</v>
      </c>
      <c r="E111" s="129"/>
      <c r="F111" s="130"/>
      <c r="G111" s="130"/>
      <c r="H111" s="130"/>
      <c r="I111" s="130"/>
      <c r="J111" s="130"/>
      <c r="K111" s="131"/>
      <c r="L111" s="129"/>
      <c r="M111" s="130"/>
      <c r="N111" s="130"/>
      <c r="O111" s="131"/>
      <c r="P111" s="129"/>
      <c r="Q111" s="130"/>
      <c r="R111" s="130"/>
      <c r="S111" s="130"/>
      <c r="T111" s="130"/>
      <c r="U111" s="131"/>
      <c r="V111" s="129"/>
      <c r="W111" s="130"/>
      <c r="X111" s="130"/>
      <c r="Y111" s="130"/>
      <c r="Z111" s="130"/>
      <c r="AA111" s="130"/>
      <c r="AB111" s="131"/>
      <c r="AC111" s="129"/>
      <c r="AD111" s="130"/>
      <c r="AE111" s="130"/>
      <c r="AF111" s="130"/>
      <c r="AG111" s="130"/>
      <c r="AH111" s="131"/>
      <c r="AI111" s="129"/>
      <c r="AJ111" s="130"/>
      <c r="AK111" s="130"/>
      <c r="AL111" s="130"/>
      <c r="AM111" s="130"/>
      <c r="AN111" s="130"/>
      <c r="AO111" s="131"/>
      <c r="AP111" s="129"/>
      <c r="AQ111" s="130"/>
      <c r="AR111" s="130"/>
      <c r="AS111" s="131"/>
      <c r="AT111" s="129"/>
      <c r="AU111" s="130"/>
      <c r="AV111" s="130"/>
      <c r="AW111" s="130"/>
      <c r="AX111" s="130"/>
      <c r="AY111" s="131"/>
      <c r="AZ111" s="129"/>
      <c r="BA111" s="130"/>
      <c r="BB111" s="130"/>
      <c r="BC111" s="130"/>
      <c r="BD111" s="130"/>
      <c r="BE111" s="130"/>
      <c r="BF111" s="131"/>
      <c r="BG111" s="129"/>
      <c r="BH111" s="130"/>
      <c r="BI111" s="130"/>
      <c r="BJ111" s="130"/>
      <c r="BK111" s="131"/>
      <c r="BL111" s="129"/>
      <c r="BM111" s="130"/>
      <c r="BN111" s="130"/>
      <c r="BO111" s="130"/>
      <c r="BP111" s="130"/>
      <c r="BQ111" s="130"/>
      <c r="BR111" s="130"/>
      <c r="BS111" s="131"/>
      <c r="BT111" s="132"/>
      <c r="BU111" s="132"/>
      <c r="BV111" s="132"/>
      <c r="BW111" s="132"/>
      <c r="BX111" s="132"/>
      <c r="BY111" s="129"/>
      <c r="BZ111" s="130"/>
      <c r="CA111" s="130"/>
      <c r="CB111" s="130"/>
      <c r="CC111" s="130"/>
      <c r="CD111" s="131"/>
      <c r="CE111" s="132"/>
      <c r="CF111" s="132"/>
      <c r="CG111" s="132"/>
      <c r="CH111" s="132"/>
      <c r="CI111" s="132"/>
      <c r="CJ111" s="129"/>
      <c r="CK111" s="130"/>
      <c r="CL111" s="131"/>
      <c r="CM111" s="132"/>
      <c r="CN111" s="132"/>
      <c r="CO111" s="132"/>
      <c r="CP111" s="129"/>
      <c r="CQ111" s="130"/>
      <c r="CR111" s="130"/>
      <c r="CS111" s="130"/>
      <c r="CT111" s="131"/>
      <c r="CU111" s="129"/>
      <c r="CV111" s="130"/>
      <c r="CW111" s="130"/>
      <c r="CX111" s="130"/>
      <c r="CY111" s="130"/>
      <c r="CZ111" s="131"/>
      <c r="DA111" s="129"/>
      <c r="DB111" s="130"/>
      <c r="DC111" s="130"/>
      <c r="DD111" s="130"/>
      <c r="DE111" s="131"/>
      <c r="DF111" s="129"/>
      <c r="DG111" s="130"/>
      <c r="DH111" s="130"/>
      <c r="DI111" s="130"/>
      <c r="DJ111" s="130"/>
      <c r="DK111" s="131"/>
      <c r="DL111" s="129"/>
      <c r="DM111" s="130"/>
      <c r="DN111" s="130"/>
      <c r="DO111" s="130"/>
      <c r="DP111" s="130"/>
      <c r="DQ111" s="131"/>
      <c r="DR111" s="129"/>
      <c r="DS111" s="130"/>
      <c r="DT111" s="130"/>
      <c r="DU111" s="130"/>
      <c r="DV111" s="130"/>
      <c r="DW111" s="131"/>
      <c r="DX111" s="129"/>
      <c r="DY111" s="130"/>
      <c r="DZ111" s="130"/>
      <c r="EA111" s="130"/>
      <c r="EB111" s="130"/>
      <c r="EC111" s="131"/>
      <c r="ED111" s="129"/>
      <c r="EE111" s="130"/>
      <c r="EF111" s="130"/>
      <c r="EG111" s="130"/>
      <c r="EH111" s="130"/>
      <c r="EI111" s="130"/>
      <c r="EJ111" s="129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3"/>
      <c r="FA111" s="132"/>
      <c r="FB111" s="132"/>
      <c r="FC111" s="132"/>
      <c r="FD111" s="132"/>
      <c r="FE111" s="132"/>
      <c r="FF111" s="129"/>
      <c r="FG111" s="130"/>
      <c r="FH111" s="130"/>
      <c r="FI111" s="130"/>
      <c r="FJ111" s="129"/>
      <c r="FK111" s="130"/>
      <c r="FL111" s="131"/>
      <c r="FM111" s="129"/>
    </row>
    <row r="112" spans="1:246">
      <c r="A112" s="95" t="s">
        <v>239</v>
      </c>
      <c r="B112" s="96" t="s">
        <v>537</v>
      </c>
      <c r="D112" s="95">
        <f t="shared" si="5"/>
        <v>0</v>
      </c>
      <c r="E112" s="129"/>
      <c r="F112" s="130"/>
      <c r="G112" s="130"/>
      <c r="H112" s="130"/>
      <c r="I112" s="130"/>
      <c r="J112" s="130"/>
      <c r="K112" s="131"/>
      <c r="L112" s="129"/>
      <c r="M112" s="130"/>
      <c r="N112" s="130"/>
      <c r="O112" s="131"/>
      <c r="P112" s="129"/>
      <c r="Q112" s="130"/>
      <c r="R112" s="130"/>
      <c r="S112" s="130"/>
      <c r="T112" s="130"/>
      <c r="U112" s="131"/>
      <c r="V112" s="129"/>
      <c r="W112" s="130"/>
      <c r="X112" s="130"/>
      <c r="Y112" s="130"/>
      <c r="Z112" s="130"/>
      <c r="AA112" s="130"/>
      <c r="AB112" s="131"/>
      <c r="AC112" s="129"/>
      <c r="AD112" s="130"/>
      <c r="AE112" s="130"/>
      <c r="AF112" s="130"/>
      <c r="AG112" s="130"/>
      <c r="AH112" s="131"/>
      <c r="AI112" s="129"/>
      <c r="AJ112" s="130"/>
      <c r="AK112" s="130"/>
      <c r="AL112" s="130"/>
      <c r="AM112" s="130"/>
      <c r="AN112" s="130"/>
      <c r="AO112" s="131"/>
      <c r="AP112" s="129"/>
      <c r="AQ112" s="130"/>
      <c r="AR112" s="130"/>
      <c r="AS112" s="131"/>
      <c r="AT112" s="129"/>
      <c r="AU112" s="130"/>
      <c r="AV112" s="130"/>
      <c r="AW112" s="130"/>
      <c r="AX112" s="130"/>
      <c r="AY112" s="131"/>
      <c r="AZ112" s="129"/>
      <c r="BA112" s="130"/>
      <c r="BB112" s="130"/>
      <c r="BC112" s="130"/>
      <c r="BD112" s="130"/>
      <c r="BE112" s="130"/>
      <c r="BF112" s="131"/>
      <c r="BG112" s="129"/>
      <c r="BH112" s="130"/>
      <c r="BI112" s="130"/>
      <c r="BJ112" s="130"/>
      <c r="BK112" s="131"/>
      <c r="BL112" s="129"/>
      <c r="BM112" s="130"/>
      <c r="BN112" s="130"/>
      <c r="BO112" s="130"/>
      <c r="BP112" s="130"/>
      <c r="BQ112" s="130"/>
      <c r="BR112" s="130"/>
      <c r="BS112" s="131"/>
      <c r="BT112" s="132"/>
      <c r="BU112" s="132"/>
      <c r="BV112" s="132"/>
      <c r="BW112" s="132"/>
      <c r="BX112" s="132"/>
      <c r="BY112" s="129"/>
      <c r="BZ112" s="130"/>
      <c r="CA112" s="130"/>
      <c r="CB112" s="130"/>
      <c r="CC112" s="130"/>
      <c r="CD112" s="131"/>
      <c r="CE112" s="132"/>
      <c r="CF112" s="132"/>
      <c r="CG112" s="132"/>
      <c r="CH112" s="132"/>
      <c r="CI112" s="132"/>
      <c r="CJ112" s="129"/>
      <c r="CK112" s="130"/>
      <c r="CL112" s="131"/>
      <c r="CM112" s="132"/>
      <c r="CN112" s="132"/>
      <c r="CO112" s="132"/>
      <c r="CP112" s="129"/>
      <c r="CQ112" s="130"/>
      <c r="CR112" s="130"/>
      <c r="CS112" s="130"/>
      <c r="CT112" s="131"/>
      <c r="CU112" s="129"/>
      <c r="CV112" s="130"/>
      <c r="CW112" s="130"/>
      <c r="CX112" s="130"/>
      <c r="CY112" s="130"/>
      <c r="CZ112" s="131"/>
      <c r="DA112" s="129"/>
      <c r="DB112" s="130"/>
      <c r="DC112" s="130"/>
      <c r="DD112" s="130"/>
      <c r="DE112" s="131"/>
      <c r="DF112" s="129"/>
      <c r="DG112" s="130"/>
      <c r="DH112" s="130"/>
      <c r="DI112" s="130"/>
      <c r="DJ112" s="130"/>
      <c r="DK112" s="131"/>
      <c r="DL112" s="129"/>
      <c r="DM112" s="130"/>
      <c r="DN112" s="130"/>
      <c r="DO112" s="130"/>
      <c r="DP112" s="130"/>
      <c r="DQ112" s="131"/>
      <c r="DR112" s="129"/>
      <c r="DS112" s="130"/>
      <c r="DT112" s="130"/>
      <c r="DU112" s="130"/>
      <c r="DV112" s="130"/>
      <c r="DW112" s="131"/>
      <c r="DX112" s="129"/>
      <c r="DY112" s="130"/>
      <c r="DZ112" s="130"/>
      <c r="EA112" s="130"/>
      <c r="EB112" s="130"/>
      <c r="EC112" s="131"/>
      <c r="ED112" s="129"/>
      <c r="EE112" s="130"/>
      <c r="EF112" s="130"/>
      <c r="EG112" s="130"/>
      <c r="EH112" s="130"/>
      <c r="EI112" s="130"/>
      <c r="EJ112" s="129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3"/>
      <c r="FA112" s="132"/>
      <c r="FB112" s="132"/>
      <c r="FC112" s="132"/>
      <c r="FD112" s="132"/>
      <c r="FE112" s="132"/>
      <c r="FF112" s="129"/>
      <c r="FG112" s="130"/>
      <c r="FH112" s="130"/>
      <c r="FI112" s="130"/>
      <c r="FJ112" s="129"/>
      <c r="FK112" s="130"/>
      <c r="FL112" s="131"/>
      <c r="FM112" s="129"/>
    </row>
    <row r="113" spans="1:199">
      <c r="A113" s="95" t="s">
        <v>540</v>
      </c>
      <c r="B113" s="96" t="s">
        <v>538</v>
      </c>
      <c r="D113" s="95">
        <f t="shared" si="5"/>
        <v>1</v>
      </c>
      <c r="E113" s="129"/>
      <c r="F113" s="130"/>
      <c r="G113" s="130"/>
      <c r="H113" s="130"/>
      <c r="I113" s="130"/>
      <c r="J113" s="130"/>
      <c r="K113" s="131"/>
      <c r="L113" s="129"/>
      <c r="M113" s="130"/>
      <c r="N113" s="130"/>
      <c r="O113" s="131"/>
      <c r="P113" s="129"/>
      <c r="Q113" s="130"/>
      <c r="R113" s="130"/>
      <c r="S113" s="130"/>
      <c r="T113" s="130"/>
      <c r="U113" s="131"/>
      <c r="V113" s="129"/>
      <c r="W113" s="130"/>
      <c r="X113" s="130"/>
      <c r="Y113" s="130"/>
      <c r="Z113" s="130"/>
      <c r="AA113" s="130"/>
      <c r="AB113" s="131"/>
      <c r="AC113" s="129"/>
      <c r="AD113" s="130"/>
      <c r="AE113" s="130"/>
      <c r="AF113" s="130"/>
      <c r="AG113" s="130"/>
      <c r="AH113" s="131"/>
      <c r="AI113" s="129"/>
      <c r="AJ113" s="130"/>
      <c r="AK113" s="130"/>
      <c r="AL113" s="130"/>
      <c r="AM113" s="130"/>
      <c r="AN113" s="130"/>
      <c r="AO113" s="131"/>
      <c r="AP113" s="129"/>
      <c r="AQ113" s="130"/>
      <c r="AR113" s="130"/>
      <c r="AS113" s="131"/>
      <c r="AT113" s="129"/>
      <c r="AU113" s="130"/>
      <c r="AV113" s="130"/>
      <c r="AW113" s="130"/>
      <c r="AX113" s="130"/>
      <c r="AY113" s="131"/>
      <c r="AZ113" s="129"/>
      <c r="BA113" s="130"/>
      <c r="BB113" s="130"/>
      <c r="BC113" s="130"/>
      <c r="BD113" s="130"/>
      <c r="BE113" s="130"/>
      <c r="BF113" s="131"/>
      <c r="BG113" s="129"/>
      <c r="BH113" s="130"/>
      <c r="BI113" s="130"/>
      <c r="BJ113" s="130"/>
      <c r="BK113" s="131"/>
      <c r="BL113" s="129"/>
      <c r="BM113" s="130"/>
      <c r="BN113" s="130"/>
      <c r="BO113" s="130"/>
      <c r="BP113" s="130"/>
      <c r="BQ113" s="130"/>
      <c r="BR113" s="130"/>
      <c r="BS113" s="131"/>
      <c r="BT113" s="132"/>
      <c r="BU113" s="132"/>
      <c r="BV113" s="132"/>
      <c r="BW113" s="132"/>
      <c r="BX113" s="132"/>
      <c r="BY113" s="129"/>
      <c r="BZ113" s="130"/>
      <c r="CA113" s="130"/>
      <c r="CB113" s="130"/>
      <c r="CC113" s="130"/>
      <c r="CD113" s="131"/>
      <c r="CE113" s="132"/>
      <c r="CF113" s="132"/>
      <c r="CG113" s="132"/>
      <c r="CH113" s="132"/>
      <c r="CI113" s="132"/>
      <c r="CJ113" s="129"/>
      <c r="CK113" s="130"/>
      <c r="CL113" s="131"/>
      <c r="CM113" s="132"/>
      <c r="CN113" s="132"/>
      <c r="CO113" s="132"/>
      <c r="CP113" s="129"/>
      <c r="CQ113" s="130"/>
      <c r="CR113" s="130"/>
      <c r="CS113" s="130"/>
      <c r="CT113" s="131"/>
      <c r="CU113" s="129"/>
      <c r="CV113" s="130"/>
      <c r="CW113" s="130"/>
      <c r="CX113" s="130"/>
      <c r="CY113" s="130"/>
      <c r="CZ113" s="131"/>
      <c r="DA113" s="129"/>
      <c r="DB113" s="130"/>
      <c r="DC113" s="130"/>
      <c r="DD113" s="130"/>
      <c r="DE113" s="131"/>
      <c r="DF113" s="129"/>
      <c r="DG113" s="130"/>
      <c r="DH113" s="130"/>
      <c r="DI113" s="130"/>
      <c r="DJ113" s="130"/>
      <c r="DK113" s="131"/>
      <c r="DL113" s="129"/>
      <c r="DM113" s="130"/>
      <c r="DN113" s="130"/>
      <c r="DO113" s="130"/>
      <c r="DP113" s="130"/>
      <c r="DQ113" s="131"/>
      <c r="DR113" s="129"/>
      <c r="DS113" s="130"/>
      <c r="DT113" s="130"/>
      <c r="DU113" s="130"/>
      <c r="DV113" s="130"/>
      <c r="DW113" s="131"/>
      <c r="DX113" s="129"/>
      <c r="DY113" s="130"/>
      <c r="DZ113" s="130"/>
      <c r="EA113" s="130"/>
      <c r="EB113" s="130"/>
      <c r="EC113" s="131"/>
      <c r="ED113" s="129"/>
      <c r="EE113" s="130"/>
      <c r="EF113" s="130"/>
      <c r="EG113" s="130"/>
      <c r="EH113" s="130"/>
      <c r="EI113" s="130"/>
      <c r="EJ113" s="129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3"/>
      <c r="FA113" s="132"/>
      <c r="FB113" s="132"/>
      <c r="FC113" s="132"/>
      <c r="FD113" s="132"/>
      <c r="FE113" s="132"/>
      <c r="FF113" s="129"/>
      <c r="FG113" s="130"/>
      <c r="FH113" s="130"/>
      <c r="FI113" s="130"/>
      <c r="FJ113" s="129"/>
      <c r="FK113" s="130"/>
      <c r="FL113" s="131"/>
      <c r="FM113" s="129"/>
      <c r="GI113" s="97" t="s">
        <v>149</v>
      </c>
    </row>
    <row r="114" spans="1:199">
      <c r="A114" s="95" t="s">
        <v>540</v>
      </c>
      <c r="B114" s="96" t="s">
        <v>539</v>
      </c>
      <c r="D114" s="95">
        <f t="shared" si="5"/>
        <v>1</v>
      </c>
      <c r="E114" s="129"/>
      <c r="F114" s="130"/>
      <c r="G114" s="130"/>
      <c r="H114" s="130"/>
      <c r="I114" s="130"/>
      <c r="J114" s="130"/>
      <c r="K114" s="131"/>
      <c r="L114" s="129"/>
      <c r="M114" s="130"/>
      <c r="N114" s="130"/>
      <c r="O114" s="131"/>
      <c r="P114" s="129"/>
      <c r="Q114" s="130"/>
      <c r="R114" s="130"/>
      <c r="S114" s="130"/>
      <c r="T114" s="130"/>
      <c r="U114" s="131"/>
      <c r="V114" s="129"/>
      <c r="W114" s="130"/>
      <c r="X114" s="130"/>
      <c r="Y114" s="130"/>
      <c r="Z114" s="130"/>
      <c r="AA114" s="130"/>
      <c r="AB114" s="131"/>
      <c r="AC114" s="129"/>
      <c r="AD114" s="130"/>
      <c r="AE114" s="130"/>
      <c r="AF114" s="130"/>
      <c r="AG114" s="130"/>
      <c r="AH114" s="131"/>
      <c r="AI114" s="129"/>
      <c r="AJ114" s="130"/>
      <c r="AK114" s="130"/>
      <c r="AL114" s="130"/>
      <c r="AM114" s="130"/>
      <c r="AN114" s="130"/>
      <c r="AO114" s="131"/>
      <c r="AP114" s="129"/>
      <c r="AQ114" s="130"/>
      <c r="AR114" s="130"/>
      <c r="AS114" s="131"/>
      <c r="AT114" s="129"/>
      <c r="AU114" s="130"/>
      <c r="AV114" s="130"/>
      <c r="AW114" s="130"/>
      <c r="AX114" s="130"/>
      <c r="AY114" s="131"/>
      <c r="AZ114" s="129"/>
      <c r="BA114" s="130"/>
      <c r="BB114" s="130"/>
      <c r="BC114" s="130"/>
      <c r="BD114" s="130"/>
      <c r="BE114" s="130"/>
      <c r="BF114" s="131"/>
      <c r="BG114" s="129"/>
      <c r="BH114" s="130"/>
      <c r="BI114" s="130"/>
      <c r="BJ114" s="130"/>
      <c r="BK114" s="131"/>
      <c r="BL114" s="129"/>
      <c r="BM114" s="130"/>
      <c r="BN114" s="130"/>
      <c r="BO114" s="130"/>
      <c r="BP114" s="130"/>
      <c r="BQ114" s="130"/>
      <c r="BR114" s="130"/>
      <c r="BS114" s="131"/>
      <c r="BT114" s="132"/>
      <c r="BU114" s="132"/>
      <c r="BV114" s="132"/>
      <c r="BW114" s="132"/>
      <c r="BX114" s="132"/>
      <c r="BY114" s="129"/>
      <c r="BZ114" s="130"/>
      <c r="CA114" s="130"/>
      <c r="CB114" s="130"/>
      <c r="CC114" s="130"/>
      <c r="CD114" s="131"/>
      <c r="CE114" s="132"/>
      <c r="CF114" s="132"/>
      <c r="CG114" s="132"/>
      <c r="CH114" s="132"/>
      <c r="CI114" s="132"/>
      <c r="CJ114" s="129"/>
      <c r="CK114" s="130"/>
      <c r="CL114" s="131"/>
      <c r="CM114" s="132"/>
      <c r="CN114" s="132"/>
      <c r="CO114" s="132"/>
      <c r="CP114" s="129"/>
      <c r="CQ114" s="130"/>
      <c r="CR114" s="130"/>
      <c r="CS114" s="130"/>
      <c r="CT114" s="131"/>
      <c r="CU114" s="129"/>
      <c r="CV114" s="130"/>
      <c r="CW114" s="130"/>
      <c r="CX114" s="130"/>
      <c r="CY114" s="130"/>
      <c r="CZ114" s="131"/>
      <c r="DA114" s="129"/>
      <c r="DB114" s="130"/>
      <c r="DC114" s="130"/>
      <c r="DD114" s="130"/>
      <c r="DE114" s="131"/>
      <c r="DF114" s="129"/>
      <c r="DG114" s="130"/>
      <c r="DH114" s="130"/>
      <c r="DI114" s="130"/>
      <c r="DJ114" s="130"/>
      <c r="DK114" s="131"/>
      <c r="DL114" s="129"/>
      <c r="DM114" s="130"/>
      <c r="DN114" s="130"/>
      <c r="DO114" s="130"/>
      <c r="DP114" s="130"/>
      <c r="DQ114" s="131"/>
      <c r="DR114" s="129"/>
      <c r="DS114" s="130"/>
      <c r="DT114" s="130"/>
      <c r="DU114" s="130"/>
      <c r="DV114" s="130"/>
      <c r="DW114" s="131"/>
      <c r="DX114" s="129"/>
      <c r="DY114" s="130"/>
      <c r="DZ114" s="130"/>
      <c r="EA114" s="130"/>
      <c r="EB114" s="130"/>
      <c r="EC114" s="131"/>
      <c r="ED114" s="129"/>
      <c r="EE114" s="130"/>
      <c r="EF114" s="130"/>
      <c r="EG114" s="130"/>
      <c r="EH114" s="130"/>
      <c r="EI114" s="130"/>
      <c r="EJ114" s="129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3"/>
      <c r="FA114" s="132"/>
      <c r="FB114" s="132"/>
      <c r="FC114" s="132"/>
      <c r="FD114" s="132"/>
      <c r="FE114" s="132"/>
      <c r="FF114" s="129"/>
      <c r="FG114" s="130"/>
      <c r="FH114" s="130"/>
      <c r="FI114" s="130"/>
      <c r="FJ114" s="129"/>
      <c r="FK114" s="130"/>
      <c r="FL114" s="131"/>
      <c r="FM114" s="129"/>
      <c r="GJ114" s="97" t="s">
        <v>149</v>
      </c>
    </row>
    <row r="115" spans="1:199">
      <c r="A115" s="95" t="s">
        <v>536</v>
      </c>
      <c r="B115" s="96" t="s">
        <v>541</v>
      </c>
      <c r="D115" s="95">
        <f t="shared" si="5"/>
        <v>0</v>
      </c>
      <c r="E115" s="129"/>
      <c r="F115" s="130"/>
      <c r="G115" s="130"/>
      <c r="H115" s="130"/>
      <c r="I115" s="130"/>
      <c r="J115" s="130"/>
      <c r="K115" s="131"/>
      <c r="L115" s="129"/>
      <c r="M115" s="130"/>
      <c r="N115" s="130"/>
      <c r="O115" s="131"/>
      <c r="P115" s="129"/>
      <c r="Q115" s="130"/>
      <c r="R115" s="130"/>
      <c r="S115" s="130"/>
      <c r="T115" s="130"/>
      <c r="U115" s="131"/>
      <c r="V115" s="129"/>
      <c r="W115" s="130"/>
      <c r="X115" s="130"/>
      <c r="Y115" s="130"/>
      <c r="Z115" s="130"/>
      <c r="AA115" s="130"/>
      <c r="AB115" s="131"/>
      <c r="AC115" s="129"/>
      <c r="AD115" s="130"/>
      <c r="AE115" s="130"/>
      <c r="AF115" s="130"/>
      <c r="AG115" s="130"/>
      <c r="AH115" s="131"/>
      <c r="AI115" s="129"/>
      <c r="AJ115" s="130"/>
      <c r="AK115" s="130"/>
      <c r="AL115" s="130"/>
      <c r="AM115" s="130"/>
      <c r="AN115" s="130"/>
      <c r="AO115" s="131"/>
      <c r="AP115" s="129"/>
      <c r="AQ115" s="130"/>
      <c r="AR115" s="130"/>
      <c r="AS115" s="131"/>
      <c r="AT115" s="129"/>
      <c r="AU115" s="130"/>
      <c r="AV115" s="130"/>
      <c r="AW115" s="130"/>
      <c r="AX115" s="130"/>
      <c r="AY115" s="131"/>
      <c r="AZ115" s="129"/>
      <c r="BA115" s="130"/>
      <c r="BB115" s="130"/>
      <c r="BC115" s="130"/>
      <c r="BD115" s="130"/>
      <c r="BE115" s="130"/>
      <c r="BF115" s="131"/>
      <c r="BG115" s="129"/>
      <c r="BH115" s="130"/>
      <c r="BI115" s="130"/>
      <c r="BJ115" s="130"/>
      <c r="BK115" s="131"/>
      <c r="BL115" s="129"/>
      <c r="BM115" s="130"/>
      <c r="BN115" s="130"/>
      <c r="BO115" s="130"/>
      <c r="BP115" s="130"/>
      <c r="BQ115" s="130"/>
      <c r="BR115" s="130"/>
      <c r="BS115" s="131"/>
      <c r="BT115" s="132"/>
      <c r="BU115" s="132"/>
      <c r="BV115" s="132"/>
      <c r="BW115" s="132"/>
      <c r="BX115" s="132"/>
      <c r="BY115" s="129"/>
      <c r="BZ115" s="130"/>
      <c r="CA115" s="130"/>
      <c r="CB115" s="130"/>
      <c r="CC115" s="130"/>
      <c r="CD115" s="131"/>
      <c r="CE115" s="132"/>
      <c r="CF115" s="132"/>
      <c r="CG115" s="132"/>
      <c r="CH115" s="132"/>
      <c r="CI115" s="132"/>
      <c r="CJ115" s="129"/>
      <c r="CK115" s="130"/>
      <c r="CL115" s="131"/>
      <c r="CM115" s="132"/>
      <c r="CN115" s="132"/>
      <c r="CO115" s="132"/>
      <c r="CP115" s="129"/>
      <c r="CQ115" s="130"/>
      <c r="CR115" s="130"/>
      <c r="CS115" s="130"/>
      <c r="CT115" s="131"/>
      <c r="CU115" s="129"/>
      <c r="CV115" s="130"/>
      <c r="CW115" s="130"/>
      <c r="CX115" s="130"/>
      <c r="CY115" s="130"/>
      <c r="CZ115" s="131"/>
      <c r="DA115" s="129"/>
      <c r="DB115" s="130"/>
      <c r="DC115" s="130"/>
      <c r="DD115" s="130"/>
      <c r="DE115" s="131"/>
      <c r="DF115" s="129"/>
      <c r="DG115" s="130"/>
      <c r="DH115" s="130"/>
      <c r="DI115" s="130"/>
      <c r="DJ115" s="130"/>
      <c r="DK115" s="131"/>
      <c r="DL115" s="129"/>
      <c r="DM115" s="130"/>
      <c r="DN115" s="130"/>
      <c r="DO115" s="130"/>
      <c r="DP115" s="130"/>
      <c r="DQ115" s="131"/>
      <c r="DR115" s="129"/>
      <c r="DS115" s="130"/>
      <c r="DT115" s="130"/>
      <c r="DU115" s="130"/>
      <c r="DV115" s="130"/>
      <c r="DW115" s="131"/>
      <c r="DX115" s="129"/>
      <c r="DY115" s="130"/>
      <c r="DZ115" s="130"/>
      <c r="EA115" s="130"/>
      <c r="EB115" s="130"/>
      <c r="EC115" s="131"/>
      <c r="ED115" s="129"/>
      <c r="EE115" s="130"/>
      <c r="EF115" s="130"/>
      <c r="EG115" s="130"/>
      <c r="EH115" s="130"/>
      <c r="EI115" s="130"/>
      <c r="EJ115" s="129"/>
      <c r="EK115" s="130"/>
      <c r="EL115" s="130"/>
      <c r="EM115" s="130"/>
      <c r="EN115" s="130"/>
      <c r="EO115" s="130"/>
      <c r="EP115" s="130"/>
      <c r="EQ115" s="130"/>
      <c r="ER115" s="130"/>
      <c r="ES115" s="130"/>
      <c r="ET115" s="130"/>
      <c r="EU115" s="130"/>
      <c r="EV115" s="130"/>
      <c r="EW115" s="130"/>
      <c r="EX115" s="130"/>
      <c r="EY115" s="130"/>
      <c r="EZ115" s="133"/>
      <c r="FA115" s="132"/>
      <c r="FB115" s="132"/>
      <c r="FC115" s="132"/>
      <c r="FD115" s="132"/>
      <c r="FE115" s="132"/>
      <c r="FF115" s="129"/>
      <c r="FG115" s="130"/>
      <c r="FH115" s="130"/>
      <c r="FI115" s="130"/>
      <c r="FJ115" s="129"/>
      <c r="FK115" s="130"/>
      <c r="FL115" s="131"/>
      <c r="FM115" s="129"/>
    </row>
    <row r="116" spans="1:199">
      <c r="A116" s="95" t="s">
        <v>540</v>
      </c>
      <c r="B116" s="96" t="s">
        <v>542</v>
      </c>
      <c r="D116" s="95">
        <f t="shared" si="5"/>
        <v>1</v>
      </c>
      <c r="E116" s="129"/>
      <c r="F116" s="130"/>
      <c r="G116" s="130"/>
      <c r="H116" s="130"/>
      <c r="I116" s="130"/>
      <c r="J116" s="130"/>
      <c r="K116" s="131"/>
      <c r="L116" s="129"/>
      <c r="M116" s="130"/>
      <c r="N116" s="130"/>
      <c r="O116" s="131"/>
      <c r="P116" s="129"/>
      <c r="Q116" s="130"/>
      <c r="R116" s="130"/>
      <c r="S116" s="130"/>
      <c r="T116" s="130"/>
      <c r="U116" s="131"/>
      <c r="V116" s="129"/>
      <c r="W116" s="130"/>
      <c r="X116" s="130"/>
      <c r="Y116" s="130"/>
      <c r="Z116" s="130"/>
      <c r="AA116" s="130"/>
      <c r="AB116" s="131"/>
      <c r="AC116" s="129"/>
      <c r="AD116" s="130"/>
      <c r="AE116" s="130"/>
      <c r="AF116" s="130"/>
      <c r="AG116" s="130"/>
      <c r="AH116" s="131"/>
      <c r="AI116" s="129"/>
      <c r="AJ116" s="130"/>
      <c r="AK116" s="130"/>
      <c r="AL116" s="130"/>
      <c r="AM116" s="130"/>
      <c r="AN116" s="130"/>
      <c r="AO116" s="131"/>
      <c r="AP116" s="129"/>
      <c r="AQ116" s="130"/>
      <c r="AR116" s="130"/>
      <c r="AS116" s="131"/>
      <c r="AT116" s="129"/>
      <c r="AU116" s="130"/>
      <c r="AV116" s="130"/>
      <c r="AW116" s="130"/>
      <c r="AX116" s="130"/>
      <c r="AY116" s="131"/>
      <c r="AZ116" s="129"/>
      <c r="BA116" s="130"/>
      <c r="BB116" s="130"/>
      <c r="BC116" s="130"/>
      <c r="BD116" s="130"/>
      <c r="BE116" s="130"/>
      <c r="BF116" s="131"/>
      <c r="BG116" s="129"/>
      <c r="BH116" s="130"/>
      <c r="BI116" s="130"/>
      <c r="BJ116" s="130"/>
      <c r="BK116" s="131"/>
      <c r="BL116" s="129"/>
      <c r="BM116" s="130"/>
      <c r="BN116" s="130"/>
      <c r="BO116" s="130"/>
      <c r="BP116" s="130"/>
      <c r="BQ116" s="130"/>
      <c r="BR116" s="130"/>
      <c r="BS116" s="131"/>
      <c r="BT116" s="132"/>
      <c r="BU116" s="132"/>
      <c r="BV116" s="132"/>
      <c r="BW116" s="132"/>
      <c r="BX116" s="132"/>
      <c r="BY116" s="129"/>
      <c r="BZ116" s="130"/>
      <c r="CA116" s="130"/>
      <c r="CB116" s="130"/>
      <c r="CC116" s="130"/>
      <c r="CD116" s="131"/>
      <c r="CE116" s="132"/>
      <c r="CF116" s="132"/>
      <c r="CG116" s="132"/>
      <c r="CH116" s="132"/>
      <c r="CI116" s="132"/>
      <c r="CJ116" s="129"/>
      <c r="CK116" s="130"/>
      <c r="CL116" s="131"/>
      <c r="CM116" s="132"/>
      <c r="CN116" s="132"/>
      <c r="CO116" s="132"/>
      <c r="CP116" s="129"/>
      <c r="CQ116" s="130"/>
      <c r="CR116" s="130"/>
      <c r="CS116" s="130"/>
      <c r="CT116" s="131"/>
      <c r="CU116" s="129"/>
      <c r="CV116" s="130"/>
      <c r="CW116" s="130"/>
      <c r="CX116" s="130"/>
      <c r="CY116" s="130"/>
      <c r="CZ116" s="131"/>
      <c r="DA116" s="129"/>
      <c r="DB116" s="130"/>
      <c r="DC116" s="130"/>
      <c r="DD116" s="130"/>
      <c r="DE116" s="131"/>
      <c r="DF116" s="129"/>
      <c r="DG116" s="130"/>
      <c r="DH116" s="130"/>
      <c r="DI116" s="130"/>
      <c r="DJ116" s="130"/>
      <c r="DK116" s="131"/>
      <c r="DL116" s="129"/>
      <c r="DM116" s="130"/>
      <c r="DN116" s="130"/>
      <c r="DO116" s="130"/>
      <c r="DP116" s="130"/>
      <c r="DQ116" s="131"/>
      <c r="DR116" s="129"/>
      <c r="DS116" s="130"/>
      <c r="DT116" s="130"/>
      <c r="DU116" s="130"/>
      <c r="DV116" s="130"/>
      <c r="DW116" s="131"/>
      <c r="DX116" s="129"/>
      <c r="DY116" s="130"/>
      <c r="DZ116" s="130"/>
      <c r="EA116" s="130"/>
      <c r="EB116" s="130"/>
      <c r="EC116" s="131"/>
      <c r="ED116" s="129"/>
      <c r="EE116" s="130"/>
      <c r="EF116" s="130"/>
      <c r="EG116" s="130"/>
      <c r="EH116" s="130"/>
      <c r="EI116" s="130"/>
      <c r="EJ116" s="129"/>
      <c r="EK116" s="130"/>
      <c r="EL116" s="130"/>
      <c r="EM116" s="130"/>
      <c r="EN116" s="130"/>
      <c r="EO116" s="130"/>
      <c r="EP116" s="130"/>
      <c r="EQ116" s="130"/>
      <c r="ER116" s="130"/>
      <c r="ES116" s="130"/>
      <c r="ET116" s="130"/>
      <c r="EU116" s="130"/>
      <c r="EV116" s="130"/>
      <c r="EW116" s="130"/>
      <c r="EX116" s="130"/>
      <c r="EY116" s="130"/>
      <c r="EZ116" s="133"/>
      <c r="FA116" s="132"/>
      <c r="FB116" s="132"/>
      <c r="FC116" s="132"/>
      <c r="FD116" s="132"/>
      <c r="FE116" s="132"/>
      <c r="FF116" s="129"/>
      <c r="FG116" s="130"/>
      <c r="FH116" s="130"/>
      <c r="FI116" s="130"/>
      <c r="FJ116" s="129"/>
      <c r="FK116" s="130"/>
      <c r="FL116" s="131"/>
      <c r="FM116" s="129"/>
      <c r="GH116" s="99" t="s">
        <v>149</v>
      </c>
    </row>
    <row r="117" spans="1:199">
      <c r="A117" s="95" t="s">
        <v>543</v>
      </c>
      <c r="B117" s="96" t="s">
        <v>544</v>
      </c>
      <c r="D117" s="95">
        <f t="shared" si="5"/>
        <v>1</v>
      </c>
      <c r="E117" s="129"/>
      <c r="F117" s="130"/>
      <c r="G117" s="130"/>
      <c r="H117" s="130"/>
      <c r="I117" s="130"/>
      <c r="J117" s="130"/>
      <c r="K117" s="131"/>
      <c r="L117" s="129"/>
      <c r="M117" s="130"/>
      <c r="N117" s="130"/>
      <c r="O117" s="131"/>
      <c r="P117" s="129"/>
      <c r="Q117" s="130"/>
      <c r="R117" s="130"/>
      <c r="S117" s="130"/>
      <c r="T117" s="130"/>
      <c r="U117" s="131"/>
      <c r="V117" s="129"/>
      <c r="W117" s="130"/>
      <c r="X117" s="130"/>
      <c r="Y117" s="130"/>
      <c r="Z117" s="130"/>
      <c r="AA117" s="130"/>
      <c r="AB117" s="131"/>
      <c r="AC117" s="129"/>
      <c r="AD117" s="130"/>
      <c r="AE117" s="130"/>
      <c r="AF117" s="130"/>
      <c r="AG117" s="130"/>
      <c r="AH117" s="131"/>
      <c r="AI117" s="129"/>
      <c r="AJ117" s="130"/>
      <c r="AK117" s="130"/>
      <c r="AL117" s="130"/>
      <c r="AM117" s="130"/>
      <c r="AN117" s="130"/>
      <c r="AO117" s="131"/>
      <c r="AP117" s="129"/>
      <c r="AQ117" s="130"/>
      <c r="AR117" s="130"/>
      <c r="AS117" s="131"/>
      <c r="AT117" s="129"/>
      <c r="AU117" s="130"/>
      <c r="AV117" s="130"/>
      <c r="AW117" s="130"/>
      <c r="AX117" s="130"/>
      <c r="AY117" s="131"/>
      <c r="AZ117" s="129"/>
      <c r="BA117" s="130"/>
      <c r="BB117" s="130"/>
      <c r="BC117" s="130"/>
      <c r="BD117" s="130"/>
      <c r="BE117" s="130"/>
      <c r="BF117" s="131"/>
      <c r="BG117" s="129"/>
      <c r="BH117" s="130"/>
      <c r="BI117" s="130"/>
      <c r="BJ117" s="130"/>
      <c r="BK117" s="131"/>
      <c r="BL117" s="129"/>
      <c r="BM117" s="130"/>
      <c r="BN117" s="130"/>
      <c r="BO117" s="130"/>
      <c r="BP117" s="130"/>
      <c r="BQ117" s="130"/>
      <c r="BR117" s="130"/>
      <c r="BS117" s="131"/>
      <c r="BT117" s="132"/>
      <c r="BU117" s="132"/>
      <c r="BV117" s="132"/>
      <c r="BW117" s="132"/>
      <c r="BX117" s="132"/>
      <c r="BY117" s="129"/>
      <c r="BZ117" s="130"/>
      <c r="CA117" s="130"/>
      <c r="CB117" s="130"/>
      <c r="CC117" s="130"/>
      <c r="CD117" s="131"/>
      <c r="CE117" s="132"/>
      <c r="CF117" s="132"/>
      <c r="CG117" s="132"/>
      <c r="CH117" s="132"/>
      <c r="CI117" s="132"/>
      <c r="CJ117" s="129"/>
      <c r="CK117" s="130"/>
      <c r="CL117" s="131"/>
      <c r="CM117" s="132"/>
      <c r="CN117" s="132"/>
      <c r="CO117" s="132"/>
      <c r="CP117" s="129"/>
      <c r="CQ117" s="130"/>
      <c r="CR117" s="130"/>
      <c r="CS117" s="130"/>
      <c r="CT117" s="131"/>
      <c r="CU117" s="129"/>
      <c r="CV117" s="130"/>
      <c r="CW117" s="130"/>
      <c r="CX117" s="130"/>
      <c r="CY117" s="130"/>
      <c r="CZ117" s="131"/>
      <c r="DA117" s="129"/>
      <c r="DB117" s="130"/>
      <c r="DC117" s="130"/>
      <c r="DD117" s="130"/>
      <c r="DE117" s="131"/>
      <c r="DF117" s="129"/>
      <c r="DG117" s="130"/>
      <c r="DH117" s="130"/>
      <c r="DI117" s="130"/>
      <c r="DJ117" s="130"/>
      <c r="DK117" s="131"/>
      <c r="DL117" s="129"/>
      <c r="DM117" s="130"/>
      <c r="DN117" s="130"/>
      <c r="DO117" s="130"/>
      <c r="DP117" s="130"/>
      <c r="DQ117" s="131"/>
      <c r="DR117" s="129"/>
      <c r="DS117" s="130"/>
      <c r="DT117" s="130"/>
      <c r="DU117" s="130"/>
      <c r="DV117" s="130"/>
      <c r="DW117" s="131"/>
      <c r="DX117" s="129"/>
      <c r="DY117" s="130"/>
      <c r="DZ117" s="130"/>
      <c r="EA117" s="130"/>
      <c r="EB117" s="130"/>
      <c r="EC117" s="131"/>
      <c r="ED117" s="129"/>
      <c r="EE117" s="130"/>
      <c r="EF117" s="130"/>
      <c r="EG117" s="130"/>
      <c r="EH117" s="130"/>
      <c r="EI117" s="130"/>
      <c r="EJ117" s="129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3"/>
      <c r="FA117" s="132"/>
      <c r="FB117" s="132"/>
      <c r="FC117" s="132"/>
      <c r="FD117" s="132"/>
      <c r="FE117" s="132"/>
      <c r="FF117" s="129"/>
      <c r="FG117" s="130"/>
      <c r="FH117" s="130"/>
      <c r="FI117" s="130"/>
      <c r="FJ117" s="129"/>
      <c r="FK117" s="130"/>
      <c r="FL117" s="131"/>
      <c r="FM117" s="129"/>
      <c r="GQ117" s="98" t="s">
        <v>149</v>
      </c>
    </row>
    <row r="118" spans="1:199">
      <c r="A118" s="95" t="s">
        <v>543</v>
      </c>
      <c r="B118" s="96" t="s">
        <v>545</v>
      </c>
      <c r="D118" s="95">
        <f t="shared" si="5"/>
        <v>1</v>
      </c>
      <c r="E118" s="129"/>
      <c r="F118" s="130"/>
      <c r="G118" s="130"/>
      <c r="H118" s="130"/>
      <c r="I118" s="130"/>
      <c r="J118" s="130"/>
      <c r="K118" s="131"/>
      <c r="L118" s="129"/>
      <c r="M118" s="130"/>
      <c r="N118" s="130"/>
      <c r="O118" s="131"/>
      <c r="P118" s="129"/>
      <c r="Q118" s="130"/>
      <c r="R118" s="130"/>
      <c r="S118" s="130"/>
      <c r="T118" s="130"/>
      <c r="U118" s="131"/>
      <c r="V118" s="129"/>
      <c r="W118" s="130"/>
      <c r="X118" s="130"/>
      <c r="Y118" s="130"/>
      <c r="Z118" s="130"/>
      <c r="AA118" s="130"/>
      <c r="AB118" s="131"/>
      <c r="AC118" s="129"/>
      <c r="AD118" s="130"/>
      <c r="AE118" s="130"/>
      <c r="AF118" s="130"/>
      <c r="AG118" s="130"/>
      <c r="AH118" s="131"/>
      <c r="AI118" s="129"/>
      <c r="AJ118" s="130"/>
      <c r="AK118" s="130"/>
      <c r="AL118" s="130"/>
      <c r="AM118" s="130"/>
      <c r="AN118" s="130"/>
      <c r="AO118" s="131"/>
      <c r="AP118" s="129"/>
      <c r="AQ118" s="130"/>
      <c r="AR118" s="130"/>
      <c r="AS118" s="131"/>
      <c r="AT118" s="129"/>
      <c r="AU118" s="130"/>
      <c r="AV118" s="130"/>
      <c r="AW118" s="130"/>
      <c r="AX118" s="130"/>
      <c r="AY118" s="131"/>
      <c r="AZ118" s="129"/>
      <c r="BA118" s="130"/>
      <c r="BB118" s="130"/>
      <c r="BC118" s="130"/>
      <c r="BD118" s="130"/>
      <c r="BE118" s="130"/>
      <c r="BF118" s="131"/>
      <c r="BG118" s="129"/>
      <c r="BH118" s="130"/>
      <c r="BI118" s="130"/>
      <c r="BJ118" s="130"/>
      <c r="BK118" s="131"/>
      <c r="BL118" s="129"/>
      <c r="BM118" s="130"/>
      <c r="BN118" s="130"/>
      <c r="BO118" s="130"/>
      <c r="BP118" s="130"/>
      <c r="BQ118" s="130"/>
      <c r="BR118" s="130"/>
      <c r="BS118" s="131"/>
      <c r="BT118" s="132"/>
      <c r="BU118" s="132"/>
      <c r="BV118" s="132"/>
      <c r="BW118" s="132"/>
      <c r="BX118" s="132"/>
      <c r="BY118" s="129"/>
      <c r="BZ118" s="130"/>
      <c r="CA118" s="130"/>
      <c r="CB118" s="130"/>
      <c r="CC118" s="130"/>
      <c r="CD118" s="131"/>
      <c r="CE118" s="132"/>
      <c r="CF118" s="132"/>
      <c r="CG118" s="132"/>
      <c r="CH118" s="132"/>
      <c r="CI118" s="132"/>
      <c r="CJ118" s="129"/>
      <c r="CK118" s="130"/>
      <c r="CL118" s="131"/>
      <c r="CM118" s="132"/>
      <c r="CN118" s="132"/>
      <c r="CO118" s="132"/>
      <c r="CP118" s="129"/>
      <c r="CQ118" s="130"/>
      <c r="CR118" s="130"/>
      <c r="CS118" s="130"/>
      <c r="CT118" s="131"/>
      <c r="CU118" s="129"/>
      <c r="CV118" s="130"/>
      <c r="CW118" s="130"/>
      <c r="CX118" s="130"/>
      <c r="CY118" s="130"/>
      <c r="CZ118" s="131"/>
      <c r="DA118" s="129"/>
      <c r="DB118" s="130"/>
      <c r="DC118" s="130"/>
      <c r="DD118" s="130"/>
      <c r="DE118" s="131"/>
      <c r="DF118" s="129"/>
      <c r="DG118" s="130"/>
      <c r="DH118" s="130"/>
      <c r="DI118" s="130"/>
      <c r="DJ118" s="130"/>
      <c r="DK118" s="131"/>
      <c r="DL118" s="129"/>
      <c r="DM118" s="130"/>
      <c r="DN118" s="130"/>
      <c r="DO118" s="130"/>
      <c r="DP118" s="130"/>
      <c r="DQ118" s="131"/>
      <c r="DR118" s="129"/>
      <c r="DS118" s="130"/>
      <c r="DT118" s="130"/>
      <c r="DU118" s="130"/>
      <c r="DV118" s="130"/>
      <c r="DW118" s="131"/>
      <c r="DX118" s="129"/>
      <c r="DY118" s="130"/>
      <c r="DZ118" s="130"/>
      <c r="EA118" s="130"/>
      <c r="EB118" s="130"/>
      <c r="EC118" s="131"/>
      <c r="ED118" s="129"/>
      <c r="EE118" s="130"/>
      <c r="EF118" s="130"/>
      <c r="EG118" s="130"/>
      <c r="EH118" s="130"/>
      <c r="EI118" s="130"/>
      <c r="EJ118" s="129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3"/>
      <c r="FA118" s="132"/>
      <c r="FB118" s="132"/>
      <c r="FC118" s="132"/>
      <c r="FD118" s="132"/>
      <c r="FE118" s="132"/>
      <c r="FF118" s="129"/>
      <c r="FG118" s="130"/>
      <c r="FH118" s="130"/>
      <c r="FI118" s="130"/>
      <c r="FJ118" s="129"/>
      <c r="FK118" s="130"/>
      <c r="FL118" s="131"/>
      <c r="FM118" s="129"/>
      <c r="GL118" s="97" t="s">
        <v>149</v>
      </c>
    </row>
    <row r="119" spans="1:199">
      <c r="A119" s="95" t="s">
        <v>543</v>
      </c>
      <c r="B119" s="96" t="s">
        <v>546</v>
      </c>
      <c r="D119" s="95">
        <f t="shared" si="5"/>
        <v>2</v>
      </c>
      <c r="E119" s="129"/>
      <c r="F119" s="130"/>
      <c r="G119" s="130"/>
      <c r="H119" s="130"/>
      <c r="I119" s="130"/>
      <c r="J119" s="130"/>
      <c r="K119" s="131"/>
      <c r="L119" s="129"/>
      <c r="M119" s="130"/>
      <c r="N119" s="130"/>
      <c r="O119" s="131"/>
      <c r="P119" s="129"/>
      <c r="Q119" s="130"/>
      <c r="R119" s="130"/>
      <c r="S119" s="130"/>
      <c r="T119" s="130"/>
      <c r="U119" s="131"/>
      <c r="V119" s="129"/>
      <c r="W119" s="130"/>
      <c r="X119" s="130"/>
      <c r="Y119" s="130"/>
      <c r="Z119" s="130"/>
      <c r="AA119" s="130"/>
      <c r="AB119" s="131"/>
      <c r="AC119" s="129"/>
      <c r="AD119" s="130"/>
      <c r="AE119" s="130"/>
      <c r="AF119" s="130"/>
      <c r="AG119" s="130"/>
      <c r="AH119" s="131"/>
      <c r="AI119" s="129"/>
      <c r="AJ119" s="130"/>
      <c r="AK119" s="130"/>
      <c r="AL119" s="130"/>
      <c r="AM119" s="130"/>
      <c r="AN119" s="130"/>
      <c r="AO119" s="131"/>
      <c r="AP119" s="129"/>
      <c r="AQ119" s="130"/>
      <c r="AR119" s="130"/>
      <c r="AS119" s="131"/>
      <c r="AT119" s="129"/>
      <c r="AU119" s="130"/>
      <c r="AV119" s="130"/>
      <c r="AW119" s="130"/>
      <c r="AX119" s="130"/>
      <c r="AY119" s="131"/>
      <c r="AZ119" s="129"/>
      <c r="BA119" s="130"/>
      <c r="BB119" s="130"/>
      <c r="BC119" s="130"/>
      <c r="BD119" s="130"/>
      <c r="BE119" s="130"/>
      <c r="BF119" s="131"/>
      <c r="BG119" s="129"/>
      <c r="BH119" s="130"/>
      <c r="BI119" s="130"/>
      <c r="BJ119" s="130"/>
      <c r="BK119" s="131"/>
      <c r="BL119" s="129"/>
      <c r="BM119" s="130"/>
      <c r="BN119" s="130"/>
      <c r="BO119" s="130"/>
      <c r="BP119" s="130"/>
      <c r="BQ119" s="130"/>
      <c r="BR119" s="130"/>
      <c r="BS119" s="131"/>
      <c r="BT119" s="132"/>
      <c r="BU119" s="132"/>
      <c r="BV119" s="132"/>
      <c r="BW119" s="132"/>
      <c r="BX119" s="132"/>
      <c r="BY119" s="129"/>
      <c r="BZ119" s="130"/>
      <c r="CA119" s="130"/>
      <c r="CB119" s="130"/>
      <c r="CC119" s="130"/>
      <c r="CD119" s="131"/>
      <c r="CE119" s="132"/>
      <c r="CF119" s="132"/>
      <c r="CG119" s="132"/>
      <c r="CH119" s="132"/>
      <c r="CI119" s="132"/>
      <c r="CJ119" s="129"/>
      <c r="CK119" s="130"/>
      <c r="CL119" s="131"/>
      <c r="CM119" s="132"/>
      <c r="CN119" s="132"/>
      <c r="CO119" s="132"/>
      <c r="CP119" s="129"/>
      <c r="CQ119" s="130"/>
      <c r="CR119" s="130"/>
      <c r="CS119" s="130"/>
      <c r="CT119" s="131"/>
      <c r="CU119" s="129"/>
      <c r="CV119" s="130"/>
      <c r="CW119" s="130"/>
      <c r="CX119" s="130"/>
      <c r="CY119" s="130"/>
      <c r="CZ119" s="131"/>
      <c r="DA119" s="129"/>
      <c r="DB119" s="130"/>
      <c r="DC119" s="130"/>
      <c r="DD119" s="130"/>
      <c r="DE119" s="131"/>
      <c r="DF119" s="129"/>
      <c r="DG119" s="130"/>
      <c r="DH119" s="130"/>
      <c r="DI119" s="130"/>
      <c r="DJ119" s="130"/>
      <c r="DK119" s="131"/>
      <c r="DL119" s="129"/>
      <c r="DM119" s="130"/>
      <c r="DN119" s="130"/>
      <c r="DO119" s="130"/>
      <c r="DP119" s="130"/>
      <c r="DQ119" s="131"/>
      <c r="DR119" s="129"/>
      <c r="DS119" s="130"/>
      <c r="DT119" s="130"/>
      <c r="DU119" s="130"/>
      <c r="DV119" s="130"/>
      <c r="DW119" s="131"/>
      <c r="DX119" s="129"/>
      <c r="DY119" s="130"/>
      <c r="DZ119" s="130"/>
      <c r="EA119" s="130"/>
      <c r="EB119" s="130"/>
      <c r="EC119" s="131"/>
      <c r="ED119" s="129"/>
      <c r="EE119" s="130"/>
      <c r="EF119" s="130"/>
      <c r="EG119" s="130"/>
      <c r="EH119" s="130"/>
      <c r="EI119" s="130"/>
      <c r="EJ119" s="129"/>
      <c r="EK119" s="130"/>
      <c r="EL119" s="130"/>
      <c r="EM119" s="130"/>
      <c r="EN119" s="130"/>
      <c r="EO119" s="130"/>
      <c r="EP119" s="130"/>
      <c r="EQ119" s="130"/>
      <c r="ER119" s="130"/>
      <c r="ES119" s="130"/>
      <c r="ET119" s="130"/>
      <c r="EU119" s="130"/>
      <c r="EV119" s="130"/>
      <c r="EW119" s="130"/>
      <c r="EX119" s="130"/>
      <c r="EY119" s="130"/>
      <c r="EZ119" s="133"/>
      <c r="FA119" s="132"/>
      <c r="FB119" s="132"/>
      <c r="FC119" s="132"/>
      <c r="FD119" s="132"/>
      <c r="FE119" s="132"/>
      <c r="FF119" s="129"/>
      <c r="FG119" s="130"/>
      <c r="FH119" s="130"/>
      <c r="FI119" s="130"/>
      <c r="FJ119" s="129"/>
      <c r="FK119" s="130"/>
      <c r="FL119" s="131"/>
      <c r="FM119" s="129"/>
      <c r="GO119" s="97" t="s">
        <v>149</v>
      </c>
      <c r="GP119" s="97" t="s">
        <v>149</v>
      </c>
    </row>
    <row r="120" spans="1:199">
      <c r="A120" s="95" t="s">
        <v>543</v>
      </c>
      <c r="B120" s="96" t="s">
        <v>547</v>
      </c>
      <c r="D120" s="95">
        <f t="shared" si="5"/>
        <v>4</v>
      </c>
      <c r="E120" s="129"/>
      <c r="F120" s="130"/>
      <c r="G120" s="130"/>
      <c r="H120" s="130"/>
      <c r="I120" s="130"/>
      <c r="J120" s="130"/>
      <c r="K120" s="131"/>
      <c r="L120" s="129"/>
      <c r="M120" s="130"/>
      <c r="N120" s="130"/>
      <c r="O120" s="131"/>
      <c r="P120" s="129"/>
      <c r="Q120" s="130"/>
      <c r="R120" s="130"/>
      <c r="S120" s="130"/>
      <c r="T120" s="130"/>
      <c r="U120" s="131"/>
      <c r="V120" s="129"/>
      <c r="W120" s="130"/>
      <c r="X120" s="130"/>
      <c r="Y120" s="130"/>
      <c r="Z120" s="130"/>
      <c r="AA120" s="130"/>
      <c r="AB120" s="131"/>
      <c r="AC120" s="129"/>
      <c r="AD120" s="130"/>
      <c r="AE120" s="130"/>
      <c r="AF120" s="130"/>
      <c r="AG120" s="130"/>
      <c r="AH120" s="131"/>
      <c r="AI120" s="129"/>
      <c r="AJ120" s="130"/>
      <c r="AK120" s="130"/>
      <c r="AL120" s="130"/>
      <c r="AM120" s="130"/>
      <c r="AN120" s="130"/>
      <c r="AO120" s="131"/>
      <c r="AP120" s="129"/>
      <c r="AQ120" s="130"/>
      <c r="AR120" s="130"/>
      <c r="AS120" s="131"/>
      <c r="AT120" s="129"/>
      <c r="AU120" s="130"/>
      <c r="AV120" s="130"/>
      <c r="AW120" s="130"/>
      <c r="AX120" s="130"/>
      <c r="AY120" s="131"/>
      <c r="AZ120" s="129"/>
      <c r="BA120" s="130"/>
      <c r="BB120" s="130"/>
      <c r="BC120" s="130"/>
      <c r="BD120" s="130"/>
      <c r="BE120" s="130"/>
      <c r="BF120" s="131"/>
      <c r="BG120" s="129"/>
      <c r="BH120" s="130"/>
      <c r="BI120" s="130"/>
      <c r="BJ120" s="130"/>
      <c r="BK120" s="131"/>
      <c r="BL120" s="129"/>
      <c r="BM120" s="130"/>
      <c r="BN120" s="130"/>
      <c r="BO120" s="130"/>
      <c r="BP120" s="130"/>
      <c r="BQ120" s="130"/>
      <c r="BR120" s="130"/>
      <c r="BS120" s="131"/>
      <c r="BT120" s="132"/>
      <c r="BU120" s="132"/>
      <c r="BV120" s="132"/>
      <c r="BW120" s="132"/>
      <c r="BX120" s="132"/>
      <c r="BY120" s="129"/>
      <c r="BZ120" s="130"/>
      <c r="CA120" s="130"/>
      <c r="CB120" s="130"/>
      <c r="CC120" s="130"/>
      <c r="CD120" s="131"/>
      <c r="CE120" s="132"/>
      <c r="CF120" s="132"/>
      <c r="CG120" s="132"/>
      <c r="CH120" s="132"/>
      <c r="CI120" s="132"/>
      <c r="CJ120" s="129"/>
      <c r="CK120" s="130"/>
      <c r="CL120" s="131"/>
      <c r="CM120" s="132"/>
      <c r="CN120" s="132"/>
      <c r="CO120" s="132"/>
      <c r="CP120" s="129"/>
      <c r="CQ120" s="130"/>
      <c r="CR120" s="130"/>
      <c r="CS120" s="130"/>
      <c r="CT120" s="131"/>
      <c r="CU120" s="129"/>
      <c r="CV120" s="130"/>
      <c r="CW120" s="130"/>
      <c r="CX120" s="130"/>
      <c r="CY120" s="130"/>
      <c r="CZ120" s="131"/>
      <c r="DA120" s="129"/>
      <c r="DB120" s="130"/>
      <c r="DC120" s="130"/>
      <c r="DD120" s="130"/>
      <c r="DE120" s="131"/>
      <c r="DF120" s="129"/>
      <c r="DG120" s="130"/>
      <c r="DH120" s="130"/>
      <c r="DI120" s="130"/>
      <c r="DJ120" s="130"/>
      <c r="DK120" s="131"/>
      <c r="DL120" s="129"/>
      <c r="DM120" s="130"/>
      <c r="DN120" s="130"/>
      <c r="DO120" s="130"/>
      <c r="DP120" s="130"/>
      <c r="DQ120" s="131"/>
      <c r="DR120" s="129"/>
      <c r="DS120" s="130"/>
      <c r="DT120" s="130"/>
      <c r="DU120" s="130"/>
      <c r="DV120" s="130"/>
      <c r="DW120" s="131"/>
      <c r="DX120" s="129"/>
      <c r="DY120" s="130"/>
      <c r="DZ120" s="130"/>
      <c r="EA120" s="130"/>
      <c r="EB120" s="130"/>
      <c r="EC120" s="131"/>
      <c r="ED120" s="129"/>
      <c r="EE120" s="130"/>
      <c r="EF120" s="130"/>
      <c r="EG120" s="130"/>
      <c r="EH120" s="130"/>
      <c r="EI120" s="130"/>
      <c r="EJ120" s="129"/>
      <c r="EK120" s="130"/>
      <c r="EL120" s="130"/>
      <c r="EM120" s="130"/>
      <c r="EN120" s="130"/>
      <c r="EO120" s="130"/>
      <c r="EP120" s="130"/>
      <c r="EQ120" s="130"/>
      <c r="ER120" s="130"/>
      <c r="ES120" s="130"/>
      <c r="ET120" s="130"/>
      <c r="EU120" s="130"/>
      <c r="EV120" s="130"/>
      <c r="EW120" s="130"/>
      <c r="EX120" s="130"/>
      <c r="EY120" s="130"/>
      <c r="EZ120" s="133"/>
      <c r="FA120" s="132"/>
      <c r="FB120" s="132"/>
      <c r="FC120" s="132"/>
      <c r="FD120" s="132"/>
      <c r="FE120" s="132"/>
      <c r="FF120" s="129"/>
      <c r="FG120" s="130"/>
      <c r="FH120" s="130"/>
      <c r="FI120" s="130"/>
      <c r="FJ120" s="129"/>
      <c r="FK120" s="130"/>
      <c r="FL120" s="131"/>
      <c r="FM120" s="129"/>
      <c r="GI120" s="97" t="s">
        <v>149</v>
      </c>
      <c r="GK120" s="98" t="s">
        <v>149</v>
      </c>
      <c r="GO120" s="97" t="s">
        <v>149</v>
      </c>
      <c r="GP120" s="97" t="s">
        <v>149</v>
      </c>
    </row>
    <row r="121" spans="1:199">
      <c r="A121" s="95" t="s">
        <v>543</v>
      </c>
      <c r="B121" s="96" t="s">
        <v>548</v>
      </c>
      <c r="D121" s="95">
        <f t="shared" si="5"/>
        <v>0</v>
      </c>
      <c r="E121" s="129"/>
      <c r="F121" s="130"/>
      <c r="G121" s="130"/>
      <c r="H121" s="130"/>
      <c r="I121" s="130"/>
      <c r="J121" s="130"/>
      <c r="K121" s="131"/>
      <c r="L121" s="129"/>
      <c r="M121" s="130"/>
      <c r="N121" s="130"/>
      <c r="O121" s="131"/>
      <c r="P121" s="129"/>
      <c r="Q121" s="130"/>
      <c r="R121" s="130"/>
      <c r="S121" s="130"/>
      <c r="T121" s="130"/>
      <c r="U121" s="131"/>
      <c r="V121" s="129"/>
      <c r="W121" s="130"/>
      <c r="X121" s="130"/>
      <c r="Y121" s="130"/>
      <c r="Z121" s="130"/>
      <c r="AA121" s="130"/>
      <c r="AB121" s="131"/>
      <c r="AC121" s="129"/>
      <c r="AD121" s="130"/>
      <c r="AE121" s="130"/>
      <c r="AF121" s="130"/>
      <c r="AG121" s="130"/>
      <c r="AH121" s="131"/>
      <c r="AI121" s="129"/>
      <c r="AJ121" s="130"/>
      <c r="AK121" s="130"/>
      <c r="AL121" s="130"/>
      <c r="AM121" s="130"/>
      <c r="AN121" s="130"/>
      <c r="AO121" s="131"/>
      <c r="AP121" s="129"/>
      <c r="AQ121" s="130"/>
      <c r="AR121" s="130"/>
      <c r="AS121" s="131"/>
      <c r="AT121" s="129"/>
      <c r="AU121" s="130"/>
      <c r="AV121" s="130"/>
      <c r="AW121" s="130"/>
      <c r="AX121" s="130"/>
      <c r="AY121" s="131"/>
      <c r="AZ121" s="129"/>
      <c r="BA121" s="130"/>
      <c r="BB121" s="130"/>
      <c r="BC121" s="130"/>
      <c r="BD121" s="130"/>
      <c r="BE121" s="130"/>
      <c r="BF121" s="131"/>
      <c r="BG121" s="129"/>
      <c r="BH121" s="130"/>
      <c r="BI121" s="130"/>
      <c r="BJ121" s="130"/>
      <c r="BK121" s="131"/>
      <c r="BL121" s="129"/>
      <c r="BM121" s="130"/>
      <c r="BN121" s="130"/>
      <c r="BO121" s="130"/>
      <c r="BP121" s="130"/>
      <c r="BQ121" s="130"/>
      <c r="BR121" s="130"/>
      <c r="BS121" s="131"/>
      <c r="BT121" s="132"/>
      <c r="BU121" s="132"/>
      <c r="BV121" s="132"/>
      <c r="BW121" s="132"/>
      <c r="BX121" s="132"/>
      <c r="BY121" s="129"/>
      <c r="BZ121" s="130"/>
      <c r="CA121" s="130"/>
      <c r="CB121" s="130"/>
      <c r="CC121" s="130"/>
      <c r="CD121" s="131"/>
      <c r="CE121" s="132"/>
      <c r="CF121" s="132"/>
      <c r="CG121" s="132"/>
      <c r="CH121" s="132"/>
      <c r="CI121" s="132"/>
      <c r="CJ121" s="129"/>
      <c r="CK121" s="130"/>
      <c r="CL121" s="131"/>
      <c r="CM121" s="132"/>
      <c r="CN121" s="132"/>
      <c r="CO121" s="132"/>
      <c r="CP121" s="129"/>
      <c r="CQ121" s="130"/>
      <c r="CR121" s="130"/>
      <c r="CS121" s="130"/>
      <c r="CT121" s="131"/>
      <c r="CU121" s="129"/>
      <c r="CV121" s="130"/>
      <c r="CW121" s="130"/>
      <c r="CX121" s="130"/>
      <c r="CY121" s="130"/>
      <c r="CZ121" s="131"/>
      <c r="DA121" s="129"/>
      <c r="DB121" s="130"/>
      <c r="DC121" s="130"/>
      <c r="DD121" s="130"/>
      <c r="DE121" s="131"/>
      <c r="DF121" s="129"/>
      <c r="DG121" s="130"/>
      <c r="DH121" s="130"/>
      <c r="DI121" s="130"/>
      <c r="DJ121" s="130"/>
      <c r="DK121" s="131"/>
      <c r="DL121" s="129"/>
      <c r="DM121" s="130"/>
      <c r="DN121" s="130"/>
      <c r="DO121" s="130"/>
      <c r="DP121" s="130"/>
      <c r="DQ121" s="131"/>
      <c r="DR121" s="129"/>
      <c r="DS121" s="130"/>
      <c r="DT121" s="130"/>
      <c r="DU121" s="130"/>
      <c r="DV121" s="130"/>
      <c r="DW121" s="131"/>
      <c r="DX121" s="129"/>
      <c r="DY121" s="130"/>
      <c r="DZ121" s="130"/>
      <c r="EA121" s="130"/>
      <c r="EB121" s="130"/>
      <c r="EC121" s="131"/>
      <c r="ED121" s="129"/>
      <c r="EE121" s="130"/>
      <c r="EF121" s="130"/>
      <c r="EG121" s="130"/>
      <c r="EH121" s="130"/>
      <c r="EI121" s="130"/>
      <c r="EJ121" s="129"/>
      <c r="EK121" s="130"/>
      <c r="EL121" s="130"/>
      <c r="EM121" s="130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3"/>
      <c r="FA121" s="132"/>
      <c r="FB121" s="132"/>
      <c r="FC121" s="132"/>
      <c r="FD121" s="132"/>
      <c r="FE121" s="132"/>
      <c r="FF121" s="129"/>
      <c r="FG121" s="130"/>
      <c r="FH121" s="130"/>
      <c r="FI121" s="130"/>
      <c r="FJ121" s="129"/>
      <c r="FK121" s="130"/>
      <c r="FL121" s="131"/>
      <c r="FM121" s="129"/>
    </row>
    <row r="122" spans="1:199">
      <c r="A122" s="95" t="s">
        <v>543</v>
      </c>
      <c r="B122" s="96" t="s">
        <v>549</v>
      </c>
      <c r="D122" s="95">
        <f t="shared" si="5"/>
        <v>2</v>
      </c>
      <c r="E122" s="129"/>
      <c r="F122" s="130"/>
      <c r="G122" s="130"/>
      <c r="H122" s="130"/>
      <c r="I122" s="130"/>
      <c r="J122" s="130"/>
      <c r="K122" s="131"/>
      <c r="L122" s="129"/>
      <c r="M122" s="130"/>
      <c r="N122" s="130"/>
      <c r="O122" s="131"/>
      <c r="P122" s="129"/>
      <c r="Q122" s="130"/>
      <c r="R122" s="130"/>
      <c r="S122" s="130"/>
      <c r="T122" s="130"/>
      <c r="U122" s="131"/>
      <c r="V122" s="129"/>
      <c r="W122" s="130"/>
      <c r="X122" s="130"/>
      <c r="Y122" s="130"/>
      <c r="Z122" s="130"/>
      <c r="AA122" s="130"/>
      <c r="AB122" s="131"/>
      <c r="AC122" s="129"/>
      <c r="AD122" s="130"/>
      <c r="AE122" s="130"/>
      <c r="AF122" s="130"/>
      <c r="AG122" s="130"/>
      <c r="AH122" s="131"/>
      <c r="AI122" s="129"/>
      <c r="AJ122" s="130"/>
      <c r="AK122" s="130"/>
      <c r="AL122" s="130"/>
      <c r="AM122" s="130"/>
      <c r="AN122" s="130"/>
      <c r="AO122" s="131"/>
      <c r="AP122" s="129"/>
      <c r="AQ122" s="130"/>
      <c r="AR122" s="130"/>
      <c r="AS122" s="131"/>
      <c r="AT122" s="129"/>
      <c r="AU122" s="130"/>
      <c r="AV122" s="130"/>
      <c r="AW122" s="130"/>
      <c r="AX122" s="130"/>
      <c r="AY122" s="131"/>
      <c r="AZ122" s="129"/>
      <c r="BA122" s="130"/>
      <c r="BB122" s="130"/>
      <c r="BC122" s="130"/>
      <c r="BD122" s="130"/>
      <c r="BE122" s="130"/>
      <c r="BF122" s="131"/>
      <c r="BG122" s="129"/>
      <c r="BH122" s="130"/>
      <c r="BI122" s="130"/>
      <c r="BJ122" s="130"/>
      <c r="BK122" s="131"/>
      <c r="BL122" s="129"/>
      <c r="BM122" s="130"/>
      <c r="BN122" s="130"/>
      <c r="BO122" s="130"/>
      <c r="BP122" s="130"/>
      <c r="BQ122" s="130"/>
      <c r="BR122" s="130"/>
      <c r="BS122" s="131"/>
      <c r="BT122" s="132"/>
      <c r="BU122" s="132"/>
      <c r="BV122" s="132"/>
      <c r="BW122" s="132"/>
      <c r="BX122" s="132"/>
      <c r="BY122" s="129"/>
      <c r="BZ122" s="130"/>
      <c r="CA122" s="130"/>
      <c r="CB122" s="130"/>
      <c r="CC122" s="130"/>
      <c r="CD122" s="131"/>
      <c r="CE122" s="132"/>
      <c r="CF122" s="132"/>
      <c r="CG122" s="132"/>
      <c r="CH122" s="132"/>
      <c r="CI122" s="132"/>
      <c r="CJ122" s="129"/>
      <c r="CK122" s="130"/>
      <c r="CL122" s="131"/>
      <c r="CM122" s="132"/>
      <c r="CN122" s="132"/>
      <c r="CO122" s="132"/>
      <c r="CP122" s="129"/>
      <c r="CQ122" s="130"/>
      <c r="CR122" s="130"/>
      <c r="CS122" s="130"/>
      <c r="CT122" s="131"/>
      <c r="CU122" s="129"/>
      <c r="CV122" s="130"/>
      <c r="CW122" s="130"/>
      <c r="CX122" s="130"/>
      <c r="CY122" s="130"/>
      <c r="CZ122" s="131"/>
      <c r="DA122" s="129"/>
      <c r="DB122" s="130"/>
      <c r="DC122" s="130"/>
      <c r="DD122" s="130"/>
      <c r="DE122" s="131"/>
      <c r="DF122" s="129"/>
      <c r="DG122" s="130"/>
      <c r="DH122" s="130"/>
      <c r="DI122" s="130"/>
      <c r="DJ122" s="130"/>
      <c r="DK122" s="131"/>
      <c r="DL122" s="129"/>
      <c r="DM122" s="130"/>
      <c r="DN122" s="130"/>
      <c r="DO122" s="130"/>
      <c r="DP122" s="130"/>
      <c r="DQ122" s="131"/>
      <c r="DR122" s="129"/>
      <c r="DS122" s="130"/>
      <c r="DT122" s="130"/>
      <c r="DU122" s="130"/>
      <c r="DV122" s="130"/>
      <c r="DW122" s="131"/>
      <c r="DX122" s="129"/>
      <c r="DY122" s="130"/>
      <c r="DZ122" s="130"/>
      <c r="EA122" s="130"/>
      <c r="EB122" s="130"/>
      <c r="EC122" s="131"/>
      <c r="ED122" s="129"/>
      <c r="EE122" s="130"/>
      <c r="EF122" s="130"/>
      <c r="EG122" s="130"/>
      <c r="EH122" s="130"/>
      <c r="EI122" s="130"/>
      <c r="EJ122" s="129"/>
      <c r="EK122" s="130"/>
      <c r="EL122" s="130"/>
      <c r="EM122" s="130"/>
      <c r="EN122" s="130"/>
      <c r="EO122" s="130"/>
      <c r="EP122" s="130"/>
      <c r="EQ122" s="130"/>
      <c r="ER122" s="130"/>
      <c r="ES122" s="130"/>
      <c r="ET122" s="130"/>
      <c r="EU122" s="130"/>
      <c r="EV122" s="130"/>
      <c r="EW122" s="130"/>
      <c r="EX122" s="130"/>
      <c r="EY122" s="130"/>
      <c r="EZ122" s="133"/>
      <c r="FA122" s="132"/>
      <c r="FB122" s="132"/>
      <c r="FC122" s="132"/>
      <c r="FD122" s="132"/>
      <c r="FE122" s="132"/>
      <c r="FF122" s="129"/>
      <c r="FG122" s="130"/>
      <c r="FH122" s="130"/>
      <c r="FI122" s="130"/>
      <c r="FJ122" s="129"/>
      <c r="FK122" s="130"/>
      <c r="FL122" s="131"/>
      <c r="FM122" s="129"/>
      <c r="GL122" s="97" t="s">
        <v>149</v>
      </c>
      <c r="GN122" s="98" t="s">
        <v>149</v>
      </c>
    </row>
    <row r="123" spans="1:199">
      <c r="A123" s="95" t="s">
        <v>239</v>
      </c>
      <c r="B123" s="96" t="s">
        <v>550</v>
      </c>
      <c r="D123" s="95">
        <f t="shared" si="5"/>
        <v>1</v>
      </c>
      <c r="E123" s="129"/>
      <c r="F123" s="130"/>
      <c r="G123" s="130"/>
      <c r="H123" s="130"/>
      <c r="I123" s="130"/>
      <c r="J123" s="130"/>
      <c r="K123" s="131"/>
      <c r="L123" s="129"/>
      <c r="M123" s="130"/>
      <c r="N123" s="130"/>
      <c r="O123" s="131"/>
      <c r="P123" s="129"/>
      <c r="Q123" s="130"/>
      <c r="R123" s="130"/>
      <c r="S123" s="130"/>
      <c r="T123" s="130"/>
      <c r="U123" s="131"/>
      <c r="V123" s="129"/>
      <c r="W123" s="130"/>
      <c r="X123" s="130"/>
      <c r="Y123" s="130"/>
      <c r="Z123" s="130"/>
      <c r="AA123" s="130"/>
      <c r="AB123" s="131"/>
      <c r="AC123" s="129"/>
      <c r="AD123" s="130"/>
      <c r="AE123" s="130"/>
      <c r="AF123" s="130"/>
      <c r="AG123" s="130"/>
      <c r="AH123" s="131"/>
      <c r="AI123" s="129"/>
      <c r="AJ123" s="130"/>
      <c r="AK123" s="130"/>
      <c r="AL123" s="130"/>
      <c r="AM123" s="130"/>
      <c r="AN123" s="130"/>
      <c r="AO123" s="131"/>
      <c r="AP123" s="129"/>
      <c r="AQ123" s="130"/>
      <c r="AR123" s="130"/>
      <c r="AS123" s="131"/>
      <c r="AT123" s="129"/>
      <c r="AU123" s="130"/>
      <c r="AV123" s="130"/>
      <c r="AW123" s="130"/>
      <c r="AX123" s="130"/>
      <c r="AY123" s="131"/>
      <c r="AZ123" s="129"/>
      <c r="BA123" s="130"/>
      <c r="BB123" s="130"/>
      <c r="BC123" s="130"/>
      <c r="BD123" s="130"/>
      <c r="BE123" s="130"/>
      <c r="BF123" s="131"/>
      <c r="BG123" s="129"/>
      <c r="BH123" s="130"/>
      <c r="BI123" s="130"/>
      <c r="BJ123" s="130"/>
      <c r="BK123" s="131"/>
      <c r="BL123" s="129"/>
      <c r="BM123" s="130"/>
      <c r="BN123" s="130"/>
      <c r="BO123" s="130"/>
      <c r="BP123" s="130"/>
      <c r="BQ123" s="130"/>
      <c r="BR123" s="130"/>
      <c r="BS123" s="131"/>
      <c r="BT123" s="132"/>
      <c r="BU123" s="132"/>
      <c r="BV123" s="132"/>
      <c r="BW123" s="132"/>
      <c r="BX123" s="132"/>
      <c r="BY123" s="129"/>
      <c r="BZ123" s="130"/>
      <c r="CA123" s="130"/>
      <c r="CB123" s="130"/>
      <c r="CC123" s="130"/>
      <c r="CD123" s="131"/>
      <c r="CE123" s="132"/>
      <c r="CF123" s="132"/>
      <c r="CG123" s="132"/>
      <c r="CH123" s="132"/>
      <c r="CI123" s="132"/>
      <c r="CJ123" s="129"/>
      <c r="CK123" s="130"/>
      <c r="CL123" s="131"/>
      <c r="CM123" s="132"/>
      <c r="CN123" s="132"/>
      <c r="CO123" s="132"/>
      <c r="CP123" s="129"/>
      <c r="CQ123" s="130"/>
      <c r="CR123" s="130"/>
      <c r="CS123" s="130"/>
      <c r="CT123" s="131"/>
      <c r="CU123" s="129"/>
      <c r="CV123" s="130"/>
      <c r="CW123" s="130"/>
      <c r="CX123" s="130"/>
      <c r="CY123" s="130"/>
      <c r="CZ123" s="131"/>
      <c r="DA123" s="129"/>
      <c r="DB123" s="130"/>
      <c r="DC123" s="130"/>
      <c r="DD123" s="130"/>
      <c r="DE123" s="131"/>
      <c r="DF123" s="129"/>
      <c r="DG123" s="130"/>
      <c r="DH123" s="130"/>
      <c r="DI123" s="130"/>
      <c r="DJ123" s="130"/>
      <c r="DK123" s="131"/>
      <c r="DL123" s="129"/>
      <c r="DM123" s="130"/>
      <c r="DN123" s="130"/>
      <c r="DO123" s="130"/>
      <c r="DP123" s="130"/>
      <c r="DQ123" s="131"/>
      <c r="DR123" s="129"/>
      <c r="DS123" s="130"/>
      <c r="DT123" s="130"/>
      <c r="DU123" s="130"/>
      <c r="DV123" s="130"/>
      <c r="DW123" s="131"/>
      <c r="DX123" s="129"/>
      <c r="DY123" s="130"/>
      <c r="DZ123" s="130"/>
      <c r="EA123" s="130"/>
      <c r="EB123" s="130"/>
      <c r="EC123" s="131"/>
      <c r="ED123" s="129"/>
      <c r="EE123" s="130"/>
      <c r="EF123" s="130"/>
      <c r="EG123" s="130"/>
      <c r="EH123" s="130"/>
      <c r="EI123" s="130"/>
      <c r="EJ123" s="129"/>
      <c r="EK123" s="130"/>
      <c r="EL123" s="130"/>
      <c r="EM123" s="130"/>
      <c r="EN123" s="130"/>
      <c r="EO123" s="130"/>
      <c r="EP123" s="130"/>
      <c r="EQ123" s="130"/>
      <c r="ER123" s="130"/>
      <c r="ES123" s="130"/>
      <c r="ET123" s="130"/>
      <c r="EU123" s="130"/>
      <c r="EV123" s="130"/>
      <c r="EW123" s="130"/>
      <c r="EX123" s="130"/>
      <c r="EY123" s="130"/>
      <c r="EZ123" s="133"/>
      <c r="FA123" s="132"/>
      <c r="FB123" s="132"/>
      <c r="FC123" s="132"/>
      <c r="FD123" s="132"/>
      <c r="FE123" s="132"/>
      <c r="FF123" s="129"/>
      <c r="FG123" s="130"/>
      <c r="FH123" s="130"/>
      <c r="FI123" s="130"/>
      <c r="FJ123" s="129"/>
      <c r="FK123" s="130"/>
      <c r="FL123" s="131"/>
      <c r="FM123" s="129"/>
      <c r="GJ123" s="97" t="s">
        <v>149</v>
      </c>
    </row>
    <row r="124" spans="1:199">
      <c r="A124" s="95" t="s">
        <v>543</v>
      </c>
      <c r="B124" s="96" t="s">
        <v>551</v>
      </c>
      <c r="D124" s="95">
        <f t="shared" si="5"/>
        <v>1</v>
      </c>
      <c r="E124" s="129"/>
      <c r="F124" s="130"/>
      <c r="G124" s="130"/>
      <c r="H124" s="130"/>
      <c r="I124" s="130"/>
      <c r="J124" s="130"/>
      <c r="K124" s="131"/>
      <c r="L124" s="129"/>
      <c r="M124" s="130"/>
      <c r="N124" s="130"/>
      <c r="O124" s="131"/>
      <c r="P124" s="129"/>
      <c r="Q124" s="130"/>
      <c r="R124" s="130"/>
      <c r="S124" s="130"/>
      <c r="T124" s="130"/>
      <c r="U124" s="131"/>
      <c r="V124" s="129"/>
      <c r="W124" s="130"/>
      <c r="X124" s="130"/>
      <c r="Y124" s="130"/>
      <c r="Z124" s="130"/>
      <c r="AA124" s="130"/>
      <c r="AB124" s="131"/>
      <c r="AC124" s="129"/>
      <c r="AD124" s="130"/>
      <c r="AE124" s="130"/>
      <c r="AF124" s="130"/>
      <c r="AG124" s="130"/>
      <c r="AH124" s="131"/>
      <c r="AI124" s="129"/>
      <c r="AJ124" s="130"/>
      <c r="AK124" s="130"/>
      <c r="AL124" s="130"/>
      <c r="AM124" s="130"/>
      <c r="AN124" s="130"/>
      <c r="AO124" s="131"/>
      <c r="AP124" s="129"/>
      <c r="AQ124" s="130"/>
      <c r="AR124" s="130"/>
      <c r="AS124" s="131"/>
      <c r="AT124" s="129"/>
      <c r="AU124" s="130"/>
      <c r="AV124" s="130"/>
      <c r="AW124" s="130"/>
      <c r="AX124" s="130"/>
      <c r="AY124" s="131"/>
      <c r="AZ124" s="129"/>
      <c r="BA124" s="130"/>
      <c r="BB124" s="130"/>
      <c r="BC124" s="130"/>
      <c r="BD124" s="130"/>
      <c r="BE124" s="130"/>
      <c r="BF124" s="131"/>
      <c r="BG124" s="129"/>
      <c r="BH124" s="130"/>
      <c r="BI124" s="130"/>
      <c r="BJ124" s="130"/>
      <c r="BK124" s="131"/>
      <c r="BL124" s="129"/>
      <c r="BM124" s="130"/>
      <c r="BN124" s="130"/>
      <c r="BO124" s="130"/>
      <c r="BP124" s="130"/>
      <c r="BQ124" s="130"/>
      <c r="BR124" s="130"/>
      <c r="BS124" s="131"/>
      <c r="BT124" s="132"/>
      <c r="BU124" s="132"/>
      <c r="BV124" s="132"/>
      <c r="BW124" s="132"/>
      <c r="BX124" s="132"/>
      <c r="BY124" s="129"/>
      <c r="BZ124" s="130"/>
      <c r="CA124" s="130"/>
      <c r="CB124" s="130"/>
      <c r="CC124" s="130"/>
      <c r="CD124" s="131"/>
      <c r="CE124" s="132"/>
      <c r="CF124" s="132"/>
      <c r="CG124" s="132"/>
      <c r="CH124" s="132"/>
      <c r="CI124" s="132"/>
      <c r="CJ124" s="129"/>
      <c r="CK124" s="130"/>
      <c r="CL124" s="131"/>
      <c r="CM124" s="132"/>
      <c r="CN124" s="132"/>
      <c r="CO124" s="132"/>
      <c r="CP124" s="129"/>
      <c r="CQ124" s="130"/>
      <c r="CR124" s="130"/>
      <c r="CS124" s="130"/>
      <c r="CT124" s="131"/>
      <c r="CU124" s="129"/>
      <c r="CV124" s="130"/>
      <c r="CW124" s="130"/>
      <c r="CX124" s="130"/>
      <c r="CY124" s="130"/>
      <c r="CZ124" s="131"/>
      <c r="DA124" s="129"/>
      <c r="DB124" s="130"/>
      <c r="DC124" s="130"/>
      <c r="DD124" s="130"/>
      <c r="DE124" s="131"/>
      <c r="DF124" s="129"/>
      <c r="DG124" s="130"/>
      <c r="DH124" s="130"/>
      <c r="DI124" s="130"/>
      <c r="DJ124" s="130"/>
      <c r="DK124" s="131"/>
      <c r="DL124" s="129"/>
      <c r="DM124" s="130"/>
      <c r="DN124" s="130"/>
      <c r="DO124" s="130"/>
      <c r="DP124" s="130"/>
      <c r="DQ124" s="131"/>
      <c r="DR124" s="129"/>
      <c r="DS124" s="130"/>
      <c r="DT124" s="130"/>
      <c r="DU124" s="130"/>
      <c r="DV124" s="130"/>
      <c r="DW124" s="131"/>
      <c r="DX124" s="129"/>
      <c r="DY124" s="130"/>
      <c r="DZ124" s="130"/>
      <c r="EA124" s="130"/>
      <c r="EB124" s="130"/>
      <c r="EC124" s="131"/>
      <c r="ED124" s="129"/>
      <c r="EE124" s="130"/>
      <c r="EF124" s="130"/>
      <c r="EG124" s="130"/>
      <c r="EH124" s="130"/>
      <c r="EI124" s="130"/>
      <c r="EJ124" s="129"/>
      <c r="EK124" s="130"/>
      <c r="EL124" s="130"/>
      <c r="EM124" s="130"/>
      <c r="EN124" s="130"/>
      <c r="EO124" s="130"/>
      <c r="EP124" s="130"/>
      <c r="EQ124" s="130"/>
      <c r="ER124" s="130"/>
      <c r="ES124" s="130"/>
      <c r="ET124" s="130"/>
      <c r="EU124" s="130"/>
      <c r="EV124" s="130"/>
      <c r="EW124" s="130"/>
      <c r="EX124" s="130"/>
      <c r="EY124" s="130"/>
      <c r="EZ124" s="133"/>
      <c r="FA124" s="132"/>
      <c r="FB124" s="132"/>
      <c r="FC124" s="132"/>
      <c r="FD124" s="132"/>
      <c r="FE124" s="132"/>
      <c r="FF124" s="129"/>
      <c r="FG124" s="130"/>
      <c r="FH124" s="130"/>
      <c r="FI124" s="130"/>
      <c r="FJ124" s="129"/>
      <c r="FK124" s="130"/>
      <c r="FL124" s="131"/>
      <c r="FM124" s="129"/>
      <c r="GK124" s="98" t="s">
        <v>149</v>
      </c>
    </row>
    <row r="125" spans="1:199">
      <c r="A125" s="95" t="s">
        <v>543</v>
      </c>
      <c r="B125" s="96" t="s">
        <v>552</v>
      </c>
      <c r="D125" s="95">
        <f t="shared" si="5"/>
        <v>1</v>
      </c>
      <c r="E125" s="129"/>
      <c r="F125" s="130"/>
      <c r="G125" s="130"/>
      <c r="H125" s="130"/>
      <c r="I125" s="130"/>
      <c r="J125" s="130"/>
      <c r="K125" s="131"/>
      <c r="L125" s="129"/>
      <c r="M125" s="130"/>
      <c r="N125" s="130"/>
      <c r="O125" s="131"/>
      <c r="P125" s="129"/>
      <c r="Q125" s="130"/>
      <c r="R125" s="130"/>
      <c r="S125" s="130"/>
      <c r="T125" s="130"/>
      <c r="U125" s="131"/>
      <c r="V125" s="129"/>
      <c r="W125" s="130"/>
      <c r="X125" s="130"/>
      <c r="Y125" s="130"/>
      <c r="Z125" s="130"/>
      <c r="AA125" s="130"/>
      <c r="AB125" s="131"/>
      <c r="AC125" s="129"/>
      <c r="AD125" s="130"/>
      <c r="AE125" s="130"/>
      <c r="AF125" s="130"/>
      <c r="AG125" s="130"/>
      <c r="AH125" s="131"/>
      <c r="AI125" s="129"/>
      <c r="AJ125" s="130"/>
      <c r="AK125" s="130"/>
      <c r="AL125" s="130"/>
      <c r="AM125" s="130"/>
      <c r="AN125" s="130"/>
      <c r="AO125" s="131"/>
      <c r="AP125" s="129"/>
      <c r="AQ125" s="130"/>
      <c r="AR125" s="130"/>
      <c r="AS125" s="131"/>
      <c r="AT125" s="129"/>
      <c r="AU125" s="130"/>
      <c r="AV125" s="130"/>
      <c r="AW125" s="130"/>
      <c r="AX125" s="130"/>
      <c r="AY125" s="131"/>
      <c r="AZ125" s="129"/>
      <c r="BA125" s="130"/>
      <c r="BB125" s="130"/>
      <c r="BC125" s="130"/>
      <c r="BD125" s="130"/>
      <c r="BE125" s="130"/>
      <c r="BF125" s="131"/>
      <c r="BG125" s="129"/>
      <c r="BH125" s="130"/>
      <c r="BI125" s="130"/>
      <c r="BJ125" s="130"/>
      <c r="BK125" s="131"/>
      <c r="BL125" s="129"/>
      <c r="BM125" s="130"/>
      <c r="BN125" s="130"/>
      <c r="BO125" s="130"/>
      <c r="BP125" s="130"/>
      <c r="BQ125" s="130"/>
      <c r="BR125" s="130"/>
      <c r="BS125" s="131"/>
      <c r="BT125" s="132"/>
      <c r="BU125" s="132"/>
      <c r="BV125" s="132"/>
      <c r="BW125" s="132"/>
      <c r="BX125" s="132"/>
      <c r="BY125" s="129"/>
      <c r="BZ125" s="130"/>
      <c r="CA125" s="130"/>
      <c r="CB125" s="130"/>
      <c r="CC125" s="130"/>
      <c r="CD125" s="131"/>
      <c r="CE125" s="132"/>
      <c r="CF125" s="132"/>
      <c r="CG125" s="132"/>
      <c r="CH125" s="132"/>
      <c r="CI125" s="132"/>
      <c r="CJ125" s="129"/>
      <c r="CK125" s="130"/>
      <c r="CL125" s="131"/>
      <c r="CM125" s="132"/>
      <c r="CN125" s="132"/>
      <c r="CO125" s="132"/>
      <c r="CP125" s="129"/>
      <c r="CQ125" s="130"/>
      <c r="CR125" s="130"/>
      <c r="CS125" s="130"/>
      <c r="CT125" s="131"/>
      <c r="CU125" s="129"/>
      <c r="CV125" s="130"/>
      <c r="CW125" s="130"/>
      <c r="CX125" s="130"/>
      <c r="CY125" s="130"/>
      <c r="CZ125" s="131"/>
      <c r="DA125" s="129"/>
      <c r="DB125" s="130"/>
      <c r="DC125" s="130"/>
      <c r="DD125" s="130"/>
      <c r="DE125" s="131"/>
      <c r="DF125" s="129"/>
      <c r="DG125" s="130"/>
      <c r="DH125" s="130"/>
      <c r="DI125" s="130"/>
      <c r="DJ125" s="130"/>
      <c r="DK125" s="131"/>
      <c r="DL125" s="129"/>
      <c r="DM125" s="130"/>
      <c r="DN125" s="130"/>
      <c r="DO125" s="130"/>
      <c r="DP125" s="130"/>
      <c r="DQ125" s="131"/>
      <c r="DR125" s="129"/>
      <c r="DS125" s="130"/>
      <c r="DT125" s="130"/>
      <c r="DU125" s="130"/>
      <c r="DV125" s="130"/>
      <c r="DW125" s="131"/>
      <c r="DX125" s="129"/>
      <c r="DY125" s="130"/>
      <c r="DZ125" s="130"/>
      <c r="EA125" s="130"/>
      <c r="EB125" s="130"/>
      <c r="EC125" s="131"/>
      <c r="ED125" s="129"/>
      <c r="EE125" s="130"/>
      <c r="EF125" s="130"/>
      <c r="EG125" s="130"/>
      <c r="EH125" s="130"/>
      <c r="EI125" s="130"/>
      <c r="EJ125" s="129"/>
      <c r="EK125" s="130"/>
      <c r="EL125" s="130"/>
      <c r="EM125" s="13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3"/>
      <c r="FA125" s="132"/>
      <c r="FB125" s="132"/>
      <c r="FC125" s="132"/>
      <c r="FD125" s="132"/>
      <c r="FE125" s="132"/>
      <c r="FF125" s="129"/>
      <c r="FG125" s="130"/>
      <c r="FH125" s="130"/>
      <c r="FI125" s="130"/>
      <c r="FJ125" s="129"/>
      <c r="FK125" s="130"/>
      <c r="FL125" s="131"/>
      <c r="FM125" s="129"/>
      <c r="GL125" s="97" t="s">
        <v>149</v>
      </c>
    </row>
    <row r="126" spans="1:199">
      <c r="A126" s="95" t="s">
        <v>543</v>
      </c>
      <c r="B126" s="96" t="s">
        <v>553</v>
      </c>
      <c r="D126" s="95">
        <f t="shared" si="5"/>
        <v>1</v>
      </c>
      <c r="E126" s="129"/>
      <c r="F126" s="130"/>
      <c r="G126" s="130"/>
      <c r="H126" s="130"/>
      <c r="I126" s="130"/>
      <c r="J126" s="130"/>
      <c r="K126" s="131"/>
      <c r="L126" s="129"/>
      <c r="M126" s="130"/>
      <c r="N126" s="130"/>
      <c r="O126" s="131"/>
      <c r="P126" s="129"/>
      <c r="Q126" s="130"/>
      <c r="R126" s="130"/>
      <c r="S126" s="130"/>
      <c r="T126" s="130"/>
      <c r="U126" s="131"/>
      <c r="V126" s="129"/>
      <c r="W126" s="130"/>
      <c r="X126" s="130"/>
      <c r="Y126" s="130"/>
      <c r="Z126" s="130"/>
      <c r="AA126" s="130"/>
      <c r="AB126" s="131"/>
      <c r="AC126" s="129"/>
      <c r="AD126" s="130"/>
      <c r="AE126" s="130"/>
      <c r="AF126" s="130"/>
      <c r="AG126" s="130"/>
      <c r="AH126" s="131"/>
      <c r="AI126" s="129"/>
      <c r="AJ126" s="130"/>
      <c r="AK126" s="130"/>
      <c r="AL126" s="130"/>
      <c r="AM126" s="130"/>
      <c r="AN126" s="130"/>
      <c r="AO126" s="131"/>
      <c r="AP126" s="129"/>
      <c r="AQ126" s="130"/>
      <c r="AR126" s="130"/>
      <c r="AS126" s="131"/>
      <c r="AT126" s="129"/>
      <c r="AU126" s="130"/>
      <c r="AV126" s="130"/>
      <c r="AW126" s="130"/>
      <c r="AX126" s="130"/>
      <c r="AY126" s="131"/>
      <c r="AZ126" s="129"/>
      <c r="BA126" s="130"/>
      <c r="BB126" s="130"/>
      <c r="BC126" s="130"/>
      <c r="BD126" s="130"/>
      <c r="BE126" s="130"/>
      <c r="BF126" s="131"/>
      <c r="BG126" s="129"/>
      <c r="BH126" s="130"/>
      <c r="BI126" s="130"/>
      <c r="BJ126" s="130"/>
      <c r="BK126" s="131"/>
      <c r="BL126" s="129"/>
      <c r="BM126" s="130"/>
      <c r="BN126" s="130"/>
      <c r="BO126" s="130"/>
      <c r="BP126" s="130"/>
      <c r="BQ126" s="130"/>
      <c r="BR126" s="130"/>
      <c r="BS126" s="131"/>
      <c r="BT126" s="132"/>
      <c r="BU126" s="132"/>
      <c r="BV126" s="132"/>
      <c r="BW126" s="132"/>
      <c r="BX126" s="132"/>
      <c r="BY126" s="129"/>
      <c r="BZ126" s="130"/>
      <c r="CA126" s="130"/>
      <c r="CB126" s="130"/>
      <c r="CC126" s="130"/>
      <c r="CD126" s="131"/>
      <c r="CE126" s="132"/>
      <c r="CF126" s="132"/>
      <c r="CG126" s="132"/>
      <c r="CH126" s="132"/>
      <c r="CI126" s="132"/>
      <c r="CJ126" s="129"/>
      <c r="CK126" s="130"/>
      <c r="CL126" s="131"/>
      <c r="CM126" s="132"/>
      <c r="CN126" s="132"/>
      <c r="CO126" s="132"/>
      <c r="CP126" s="129"/>
      <c r="CQ126" s="130"/>
      <c r="CR126" s="130"/>
      <c r="CS126" s="130"/>
      <c r="CT126" s="131"/>
      <c r="CU126" s="129"/>
      <c r="CV126" s="130"/>
      <c r="CW126" s="130"/>
      <c r="CX126" s="130"/>
      <c r="CY126" s="130"/>
      <c r="CZ126" s="131"/>
      <c r="DA126" s="129"/>
      <c r="DB126" s="130"/>
      <c r="DC126" s="130"/>
      <c r="DD126" s="130"/>
      <c r="DE126" s="131"/>
      <c r="DF126" s="129"/>
      <c r="DG126" s="130"/>
      <c r="DH126" s="130"/>
      <c r="DI126" s="130"/>
      <c r="DJ126" s="130"/>
      <c r="DK126" s="131"/>
      <c r="DL126" s="129"/>
      <c r="DM126" s="130"/>
      <c r="DN126" s="130"/>
      <c r="DO126" s="130"/>
      <c r="DP126" s="130"/>
      <c r="DQ126" s="131"/>
      <c r="DR126" s="129"/>
      <c r="DS126" s="130"/>
      <c r="DT126" s="130"/>
      <c r="DU126" s="130"/>
      <c r="DV126" s="130"/>
      <c r="DW126" s="131"/>
      <c r="DX126" s="129"/>
      <c r="DY126" s="130"/>
      <c r="DZ126" s="130"/>
      <c r="EA126" s="130"/>
      <c r="EB126" s="130"/>
      <c r="EC126" s="131"/>
      <c r="ED126" s="129"/>
      <c r="EE126" s="130"/>
      <c r="EF126" s="130"/>
      <c r="EG126" s="130"/>
      <c r="EH126" s="130"/>
      <c r="EI126" s="130"/>
      <c r="EJ126" s="129"/>
      <c r="EK126" s="130"/>
      <c r="EL126" s="130"/>
      <c r="EM126" s="13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3"/>
      <c r="FA126" s="132"/>
      <c r="FB126" s="132"/>
      <c r="FC126" s="132"/>
      <c r="FD126" s="132"/>
      <c r="FE126" s="132"/>
      <c r="FF126" s="129"/>
      <c r="FG126" s="130"/>
      <c r="FH126" s="130"/>
      <c r="FI126" s="130"/>
      <c r="FJ126" s="129"/>
      <c r="FK126" s="130"/>
      <c r="FL126" s="131"/>
      <c r="FM126" s="129"/>
      <c r="GM126" s="97" t="s">
        <v>149</v>
      </c>
    </row>
    <row r="127" spans="1:199">
      <c r="A127" s="95" t="s">
        <v>558</v>
      </c>
      <c r="B127" s="96" t="s">
        <v>559</v>
      </c>
      <c r="C127" s="95">
        <v>1</v>
      </c>
      <c r="D127" s="95">
        <f t="shared" si="5"/>
        <v>3</v>
      </c>
      <c r="E127" s="129"/>
      <c r="F127" s="130"/>
      <c r="G127" s="130"/>
      <c r="H127" s="130"/>
      <c r="I127" s="130"/>
      <c r="J127" s="130"/>
      <c r="K127" s="131"/>
      <c r="L127" s="129"/>
      <c r="M127" s="130"/>
      <c r="N127" s="130"/>
      <c r="O127" s="131"/>
      <c r="P127" s="129"/>
      <c r="Q127" s="130"/>
      <c r="R127" s="130"/>
      <c r="S127" s="130"/>
      <c r="T127" s="130"/>
      <c r="U127" s="131"/>
      <c r="V127" s="129"/>
      <c r="W127" s="130"/>
      <c r="X127" s="130"/>
      <c r="Y127" s="130"/>
      <c r="Z127" s="130"/>
      <c r="AA127" s="130"/>
      <c r="AB127" s="131"/>
      <c r="AC127" s="129"/>
      <c r="AD127" s="130"/>
      <c r="AE127" s="130"/>
      <c r="AF127" s="130"/>
      <c r="AG127" s="130"/>
      <c r="AH127" s="131"/>
      <c r="AI127" s="129"/>
      <c r="AJ127" s="130"/>
      <c r="AK127" s="130"/>
      <c r="AL127" s="130"/>
      <c r="AM127" s="130"/>
      <c r="AN127" s="130"/>
      <c r="AO127" s="131"/>
      <c r="AP127" s="129"/>
      <c r="AQ127" s="130"/>
      <c r="AR127" s="130"/>
      <c r="AS127" s="131"/>
      <c r="AT127" s="129"/>
      <c r="AU127" s="130"/>
      <c r="AV127" s="130"/>
      <c r="AW127" s="130"/>
      <c r="AX127" s="130"/>
      <c r="AY127" s="131"/>
      <c r="AZ127" s="129"/>
      <c r="BA127" s="130"/>
      <c r="BB127" s="130"/>
      <c r="BC127" s="130"/>
      <c r="BD127" s="130"/>
      <c r="BE127" s="130"/>
      <c r="BF127" s="131"/>
      <c r="BG127" s="129"/>
      <c r="BH127" s="130"/>
      <c r="BI127" s="130"/>
      <c r="BJ127" s="130"/>
      <c r="BK127" s="131"/>
      <c r="BL127" s="129"/>
      <c r="BM127" s="130"/>
      <c r="BN127" s="130"/>
      <c r="BO127" s="130"/>
      <c r="BP127" s="130"/>
      <c r="BQ127" s="130"/>
      <c r="BR127" s="130"/>
      <c r="BS127" s="131"/>
      <c r="BT127" s="132"/>
      <c r="BU127" s="132"/>
      <c r="BV127" s="132"/>
      <c r="BW127" s="132"/>
      <c r="BX127" s="132"/>
      <c r="BY127" s="129"/>
      <c r="BZ127" s="130"/>
      <c r="CA127" s="130"/>
      <c r="CB127" s="130"/>
      <c r="CC127" s="130"/>
      <c r="CD127" s="131"/>
      <c r="CE127" s="132"/>
      <c r="CF127" s="132"/>
      <c r="CG127" s="132"/>
      <c r="CH127" s="132"/>
      <c r="CI127" s="132"/>
      <c r="CJ127" s="129"/>
      <c r="CK127" s="130"/>
      <c r="CL127" s="131"/>
      <c r="CM127" s="132"/>
      <c r="CN127" s="132"/>
      <c r="CO127" s="132"/>
      <c r="CP127" s="129"/>
      <c r="CQ127" s="130"/>
      <c r="CR127" s="130"/>
      <c r="CS127" s="130"/>
      <c r="CT127" s="131"/>
      <c r="CU127" s="129"/>
      <c r="CV127" s="130"/>
      <c r="CW127" s="130"/>
      <c r="CX127" s="130"/>
      <c r="CY127" s="130"/>
      <c r="CZ127" s="131"/>
      <c r="DA127" s="129"/>
      <c r="DB127" s="130"/>
      <c r="DC127" s="130"/>
      <c r="DD127" s="130"/>
      <c r="DE127" s="131"/>
      <c r="DF127" s="129"/>
      <c r="DG127" s="130"/>
      <c r="DH127" s="130"/>
      <c r="DI127" s="130"/>
      <c r="DJ127" s="130"/>
      <c r="DK127" s="131"/>
      <c r="DL127" s="129"/>
      <c r="DM127" s="130"/>
      <c r="DN127" s="130"/>
      <c r="DO127" s="130"/>
      <c r="DP127" s="130"/>
      <c r="DQ127" s="131"/>
      <c r="DR127" s="129"/>
      <c r="DS127" s="130"/>
      <c r="DT127" s="130"/>
      <c r="DU127" s="130"/>
      <c r="DV127" s="130"/>
      <c r="DW127" s="131"/>
      <c r="DX127" s="129"/>
      <c r="DY127" s="130"/>
      <c r="DZ127" s="130"/>
      <c r="EA127" s="130"/>
      <c r="EB127" s="130"/>
      <c r="EC127" s="131"/>
      <c r="ED127" s="129"/>
      <c r="EE127" s="130"/>
      <c r="EF127" s="130"/>
      <c r="EG127" s="130"/>
      <c r="EH127" s="130"/>
      <c r="EI127" s="130"/>
      <c r="EJ127" s="129"/>
      <c r="EK127" s="130"/>
      <c r="EL127" s="130"/>
      <c r="EM127" s="130"/>
      <c r="EN127" s="130" t="s">
        <v>149</v>
      </c>
      <c r="EO127" s="130" t="s">
        <v>149</v>
      </c>
      <c r="EP127" s="130" t="s">
        <v>149</v>
      </c>
      <c r="EQ127" s="130"/>
      <c r="ER127" s="130"/>
      <c r="ES127" s="130"/>
      <c r="ET127" s="130"/>
      <c r="EU127" s="130"/>
      <c r="EV127" s="130"/>
      <c r="EW127" s="130"/>
      <c r="EX127" s="130"/>
      <c r="EY127" s="130"/>
      <c r="EZ127" s="133"/>
      <c r="FA127" s="132"/>
      <c r="FB127" s="132"/>
      <c r="FC127" s="132"/>
      <c r="FD127" s="132"/>
      <c r="FE127" s="132"/>
      <c r="FF127" s="129"/>
      <c r="FG127" s="130"/>
      <c r="FH127" s="130"/>
      <c r="FI127" s="130"/>
      <c r="FJ127" s="129"/>
      <c r="FK127" s="130"/>
      <c r="FL127" s="131"/>
      <c r="FM127" s="129"/>
    </row>
    <row r="128" spans="1:199">
      <c r="A128" s="95" t="s">
        <v>558</v>
      </c>
      <c r="B128" s="96" t="s">
        <v>560</v>
      </c>
      <c r="C128" s="95">
        <v>1</v>
      </c>
      <c r="D128" s="95">
        <f t="shared" si="5"/>
        <v>1</v>
      </c>
      <c r="E128" s="129"/>
      <c r="F128" s="130"/>
      <c r="G128" s="130"/>
      <c r="H128" s="130"/>
      <c r="I128" s="130"/>
      <c r="J128" s="130"/>
      <c r="K128" s="131"/>
      <c r="L128" s="129"/>
      <c r="M128" s="130"/>
      <c r="N128" s="130"/>
      <c r="O128" s="131"/>
      <c r="P128" s="129"/>
      <c r="Q128" s="130"/>
      <c r="R128" s="130"/>
      <c r="S128" s="130"/>
      <c r="T128" s="130"/>
      <c r="U128" s="131"/>
      <c r="V128" s="129"/>
      <c r="W128" s="130"/>
      <c r="X128" s="130"/>
      <c r="Y128" s="130"/>
      <c r="Z128" s="130"/>
      <c r="AA128" s="130"/>
      <c r="AB128" s="131"/>
      <c r="AC128" s="129"/>
      <c r="AD128" s="130"/>
      <c r="AE128" s="130"/>
      <c r="AF128" s="130"/>
      <c r="AG128" s="130"/>
      <c r="AH128" s="131"/>
      <c r="AI128" s="129"/>
      <c r="AJ128" s="130"/>
      <c r="AK128" s="130"/>
      <c r="AL128" s="130"/>
      <c r="AM128" s="130"/>
      <c r="AN128" s="130"/>
      <c r="AO128" s="131"/>
      <c r="AP128" s="129"/>
      <c r="AQ128" s="130"/>
      <c r="AR128" s="130"/>
      <c r="AS128" s="131"/>
      <c r="AT128" s="129"/>
      <c r="AU128" s="130"/>
      <c r="AV128" s="130"/>
      <c r="AW128" s="130"/>
      <c r="AX128" s="130"/>
      <c r="AY128" s="131"/>
      <c r="AZ128" s="129"/>
      <c r="BA128" s="130"/>
      <c r="BB128" s="130"/>
      <c r="BC128" s="130"/>
      <c r="BD128" s="130"/>
      <c r="BE128" s="130"/>
      <c r="BF128" s="131"/>
      <c r="BG128" s="129"/>
      <c r="BH128" s="130"/>
      <c r="BI128" s="130"/>
      <c r="BJ128" s="130"/>
      <c r="BK128" s="131"/>
      <c r="BL128" s="129"/>
      <c r="BM128" s="130"/>
      <c r="BN128" s="130"/>
      <c r="BO128" s="130"/>
      <c r="BP128" s="130"/>
      <c r="BQ128" s="130"/>
      <c r="BR128" s="130"/>
      <c r="BS128" s="131"/>
      <c r="BT128" s="132"/>
      <c r="BU128" s="132"/>
      <c r="BV128" s="132"/>
      <c r="BW128" s="132"/>
      <c r="BX128" s="132"/>
      <c r="BY128" s="129"/>
      <c r="BZ128" s="130"/>
      <c r="CA128" s="130"/>
      <c r="CB128" s="130"/>
      <c r="CC128" s="130"/>
      <c r="CD128" s="131"/>
      <c r="CE128" s="132"/>
      <c r="CF128" s="132"/>
      <c r="CG128" s="132"/>
      <c r="CH128" s="132"/>
      <c r="CI128" s="132"/>
      <c r="CJ128" s="129"/>
      <c r="CK128" s="130"/>
      <c r="CL128" s="131"/>
      <c r="CM128" s="132"/>
      <c r="CN128" s="132"/>
      <c r="CO128" s="132"/>
      <c r="CP128" s="129"/>
      <c r="CQ128" s="130"/>
      <c r="CR128" s="130"/>
      <c r="CS128" s="130"/>
      <c r="CT128" s="131"/>
      <c r="CU128" s="129"/>
      <c r="CV128" s="130"/>
      <c r="CW128" s="130"/>
      <c r="CX128" s="130"/>
      <c r="CY128" s="130"/>
      <c r="CZ128" s="131"/>
      <c r="DA128" s="129"/>
      <c r="DB128" s="130"/>
      <c r="DC128" s="130"/>
      <c r="DD128" s="130"/>
      <c r="DE128" s="131"/>
      <c r="DF128" s="129"/>
      <c r="DG128" s="130"/>
      <c r="DH128" s="130"/>
      <c r="DI128" s="130"/>
      <c r="DJ128" s="130"/>
      <c r="DK128" s="131"/>
      <c r="DL128" s="129"/>
      <c r="DM128" s="130"/>
      <c r="DN128" s="130"/>
      <c r="DO128" s="130"/>
      <c r="DP128" s="130"/>
      <c r="DQ128" s="131"/>
      <c r="DR128" s="129"/>
      <c r="DS128" s="130"/>
      <c r="DT128" s="130"/>
      <c r="DU128" s="130"/>
      <c r="DV128" s="130"/>
      <c r="DW128" s="131"/>
      <c r="DX128" s="129"/>
      <c r="DY128" s="130"/>
      <c r="DZ128" s="130"/>
      <c r="EA128" s="130"/>
      <c r="EB128" s="130"/>
      <c r="EC128" s="131"/>
      <c r="ED128" s="129"/>
      <c r="EE128" s="130"/>
      <c r="EF128" s="130"/>
      <c r="EG128" s="130"/>
      <c r="EH128" s="130"/>
      <c r="EI128" s="130"/>
      <c r="EJ128" s="129"/>
      <c r="EK128" s="130"/>
      <c r="EL128" s="130"/>
      <c r="EM128" s="130"/>
      <c r="EN128" s="130"/>
      <c r="EO128" s="130"/>
      <c r="EP128" s="130"/>
      <c r="EQ128" s="130"/>
      <c r="ER128" s="130" t="s">
        <v>149</v>
      </c>
      <c r="ES128" s="130"/>
      <c r="ET128" s="130"/>
      <c r="EU128" s="130"/>
      <c r="EV128" s="130"/>
      <c r="EW128" s="130"/>
      <c r="EX128" s="130"/>
      <c r="EY128" s="130"/>
      <c r="EZ128" s="133"/>
      <c r="FA128" s="132"/>
      <c r="FB128" s="132"/>
      <c r="FC128" s="132"/>
      <c r="FD128" s="132"/>
      <c r="FE128" s="132"/>
      <c r="FF128" s="129"/>
      <c r="FG128" s="130"/>
      <c r="FH128" s="130"/>
      <c r="FI128" s="130"/>
      <c r="FJ128" s="129"/>
      <c r="FK128" s="130"/>
      <c r="FL128" s="131"/>
      <c r="FM128" s="129"/>
    </row>
    <row r="129" spans="1:221">
      <c r="A129" s="95" t="s">
        <v>248</v>
      </c>
      <c r="B129" s="96" t="s">
        <v>561</v>
      </c>
      <c r="C129" s="95">
        <v>1</v>
      </c>
      <c r="D129" s="95">
        <f t="shared" si="5"/>
        <v>2</v>
      </c>
      <c r="E129" s="129"/>
      <c r="F129" s="130"/>
      <c r="G129" s="130"/>
      <c r="H129" s="130"/>
      <c r="I129" s="130"/>
      <c r="J129" s="130"/>
      <c r="K129" s="131"/>
      <c r="L129" s="129"/>
      <c r="M129" s="130"/>
      <c r="N129" s="130"/>
      <c r="O129" s="131"/>
      <c r="P129" s="129"/>
      <c r="Q129" s="130"/>
      <c r="R129" s="130"/>
      <c r="S129" s="130"/>
      <c r="T129" s="130"/>
      <c r="U129" s="131"/>
      <c r="V129" s="129"/>
      <c r="W129" s="130"/>
      <c r="X129" s="130"/>
      <c r="Y129" s="130"/>
      <c r="Z129" s="130"/>
      <c r="AA129" s="130"/>
      <c r="AB129" s="131"/>
      <c r="AC129" s="129"/>
      <c r="AD129" s="130"/>
      <c r="AE129" s="130"/>
      <c r="AF129" s="130"/>
      <c r="AG129" s="130"/>
      <c r="AH129" s="131"/>
      <c r="AI129" s="129"/>
      <c r="AJ129" s="130"/>
      <c r="AK129" s="130"/>
      <c r="AL129" s="130"/>
      <c r="AM129" s="130"/>
      <c r="AN129" s="130"/>
      <c r="AO129" s="131"/>
      <c r="AP129" s="129"/>
      <c r="AQ129" s="130"/>
      <c r="AR129" s="130"/>
      <c r="AS129" s="131"/>
      <c r="AT129" s="129"/>
      <c r="AU129" s="130"/>
      <c r="AV129" s="130"/>
      <c r="AW129" s="130"/>
      <c r="AX129" s="130"/>
      <c r="AY129" s="131"/>
      <c r="AZ129" s="129"/>
      <c r="BA129" s="130"/>
      <c r="BB129" s="130"/>
      <c r="BC129" s="130"/>
      <c r="BD129" s="130"/>
      <c r="BE129" s="130"/>
      <c r="BF129" s="131"/>
      <c r="BG129" s="129"/>
      <c r="BH129" s="130"/>
      <c r="BI129" s="130"/>
      <c r="BJ129" s="130"/>
      <c r="BK129" s="131"/>
      <c r="BL129" s="129"/>
      <c r="BM129" s="130"/>
      <c r="BN129" s="130"/>
      <c r="BO129" s="130"/>
      <c r="BP129" s="130"/>
      <c r="BQ129" s="130"/>
      <c r="BR129" s="130"/>
      <c r="BS129" s="131"/>
      <c r="BT129" s="132"/>
      <c r="BU129" s="132"/>
      <c r="BV129" s="132"/>
      <c r="BW129" s="132"/>
      <c r="BX129" s="132"/>
      <c r="BY129" s="129"/>
      <c r="BZ129" s="130"/>
      <c r="CA129" s="130"/>
      <c r="CB129" s="130"/>
      <c r="CC129" s="130"/>
      <c r="CD129" s="131"/>
      <c r="CE129" s="132"/>
      <c r="CF129" s="132"/>
      <c r="CG129" s="132"/>
      <c r="CH129" s="132"/>
      <c r="CI129" s="132"/>
      <c r="CJ129" s="129"/>
      <c r="CK129" s="130"/>
      <c r="CL129" s="131"/>
      <c r="CM129" s="132"/>
      <c r="CN129" s="132"/>
      <c r="CO129" s="132"/>
      <c r="CP129" s="129"/>
      <c r="CQ129" s="130"/>
      <c r="CR129" s="130"/>
      <c r="CS129" s="130"/>
      <c r="CT129" s="131"/>
      <c r="CU129" s="129"/>
      <c r="CV129" s="130"/>
      <c r="CW129" s="130"/>
      <c r="CX129" s="130"/>
      <c r="CY129" s="130"/>
      <c r="CZ129" s="131"/>
      <c r="DA129" s="129"/>
      <c r="DB129" s="130"/>
      <c r="DC129" s="130"/>
      <c r="DD129" s="130"/>
      <c r="DE129" s="131"/>
      <c r="DF129" s="129"/>
      <c r="DG129" s="130"/>
      <c r="DH129" s="130"/>
      <c r="DI129" s="130"/>
      <c r="DJ129" s="130"/>
      <c r="DK129" s="131"/>
      <c r="DL129" s="129"/>
      <c r="DM129" s="130"/>
      <c r="DN129" s="130"/>
      <c r="DO129" s="130"/>
      <c r="DP129" s="130"/>
      <c r="DQ129" s="131"/>
      <c r="DR129" s="129"/>
      <c r="DS129" s="130"/>
      <c r="DT129" s="130"/>
      <c r="DU129" s="130"/>
      <c r="DV129" s="130"/>
      <c r="DW129" s="131"/>
      <c r="DX129" s="129"/>
      <c r="DY129" s="130"/>
      <c r="DZ129" s="130"/>
      <c r="EA129" s="130"/>
      <c r="EB129" s="130"/>
      <c r="EC129" s="131"/>
      <c r="ED129" s="129"/>
      <c r="EE129" s="130"/>
      <c r="EF129" s="130"/>
      <c r="EG129" s="130"/>
      <c r="EH129" s="130"/>
      <c r="EI129" s="130"/>
      <c r="EJ129" s="129"/>
      <c r="EK129" s="130"/>
      <c r="EL129" s="130"/>
      <c r="EM129" s="130"/>
      <c r="EN129" s="130"/>
      <c r="EO129" s="130" t="s">
        <v>149</v>
      </c>
      <c r="EP129" s="130"/>
      <c r="EQ129" s="130" t="s">
        <v>149</v>
      </c>
      <c r="ER129" s="130"/>
      <c r="ES129" s="130"/>
      <c r="ET129" s="130"/>
      <c r="EU129" s="130"/>
      <c r="EV129" s="130"/>
      <c r="EW129" s="130"/>
      <c r="EX129" s="130"/>
      <c r="EY129" s="130"/>
      <c r="EZ129" s="133"/>
      <c r="FA129" s="132"/>
      <c r="FB129" s="132"/>
      <c r="FC129" s="132"/>
      <c r="FD129" s="132"/>
      <c r="FE129" s="132"/>
      <c r="FF129" s="129"/>
      <c r="FG129" s="130"/>
      <c r="FH129" s="130"/>
      <c r="FI129" s="130"/>
      <c r="FJ129" s="129"/>
      <c r="FK129" s="130"/>
      <c r="FL129" s="131"/>
      <c r="FM129" s="129"/>
    </row>
    <row r="130" spans="1:221">
      <c r="A130" s="95" t="s">
        <v>558</v>
      </c>
      <c r="B130" s="96" t="s">
        <v>563</v>
      </c>
      <c r="D130" s="95">
        <f t="shared" si="5"/>
        <v>1</v>
      </c>
      <c r="E130" s="129"/>
      <c r="F130" s="130"/>
      <c r="G130" s="130"/>
      <c r="H130" s="130"/>
      <c r="I130" s="130"/>
      <c r="J130" s="130"/>
      <c r="K130" s="131"/>
      <c r="L130" s="129"/>
      <c r="M130" s="130"/>
      <c r="N130" s="130"/>
      <c r="O130" s="131"/>
      <c r="P130" s="129"/>
      <c r="Q130" s="130"/>
      <c r="R130" s="130"/>
      <c r="S130" s="130"/>
      <c r="T130" s="130"/>
      <c r="U130" s="131"/>
      <c r="V130" s="129"/>
      <c r="W130" s="130"/>
      <c r="X130" s="130"/>
      <c r="Y130" s="130"/>
      <c r="Z130" s="130"/>
      <c r="AA130" s="130"/>
      <c r="AB130" s="131"/>
      <c r="AC130" s="129"/>
      <c r="AD130" s="130"/>
      <c r="AE130" s="130"/>
      <c r="AF130" s="130"/>
      <c r="AG130" s="130"/>
      <c r="AH130" s="131"/>
      <c r="AI130" s="129"/>
      <c r="AJ130" s="130"/>
      <c r="AK130" s="130"/>
      <c r="AL130" s="130"/>
      <c r="AM130" s="130"/>
      <c r="AN130" s="130"/>
      <c r="AO130" s="131"/>
      <c r="AP130" s="129"/>
      <c r="AQ130" s="130"/>
      <c r="AR130" s="130"/>
      <c r="AS130" s="131"/>
      <c r="AT130" s="129"/>
      <c r="AU130" s="130"/>
      <c r="AV130" s="130"/>
      <c r="AW130" s="130"/>
      <c r="AX130" s="130"/>
      <c r="AY130" s="131"/>
      <c r="AZ130" s="129"/>
      <c r="BA130" s="130"/>
      <c r="BB130" s="130"/>
      <c r="BC130" s="130"/>
      <c r="BD130" s="130"/>
      <c r="BE130" s="130"/>
      <c r="BF130" s="131"/>
      <c r="BG130" s="129"/>
      <c r="BH130" s="130"/>
      <c r="BI130" s="130"/>
      <c r="BJ130" s="130"/>
      <c r="BK130" s="131"/>
      <c r="BL130" s="129"/>
      <c r="BM130" s="130"/>
      <c r="BN130" s="130"/>
      <c r="BO130" s="130"/>
      <c r="BP130" s="130"/>
      <c r="BQ130" s="130"/>
      <c r="BR130" s="130"/>
      <c r="BS130" s="131"/>
      <c r="BT130" s="132"/>
      <c r="BU130" s="132"/>
      <c r="BV130" s="132"/>
      <c r="BW130" s="132"/>
      <c r="BX130" s="132"/>
      <c r="BY130" s="129"/>
      <c r="BZ130" s="130"/>
      <c r="CA130" s="130"/>
      <c r="CB130" s="130"/>
      <c r="CC130" s="130"/>
      <c r="CD130" s="131"/>
      <c r="CE130" s="132"/>
      <c r="CF130" s="132"/>
      <c r="CG130" s="132"/>
      <c r="CH130" s="132"/>
      <c r="CI130" s="132"/>
      <c r="CJ130" s="129"/>
      <c r="CK130" s="130"/>
      <c r="CL130" s="131"/>
      <c r="CM130" s="132"/>
      <c r="CN130" s="132"/>
      <c r="CO130" s="132"/>
      <c r="CP130" s="129"/>
      <c r="CQ130" s="130"/>
      <c r="CR130" s="130"/>
      <c r="CS130" s="130"/>
      <c r="CT130" s="131"/>
      <c r="CU130" s="129"/>
      <c r="CV130" s="130"/>
      <c r="CW130" s="130"/>
      <c r="CX130" s="130"/>
      <c r="CY130" s="130"/>
      <c r="CZ130" s="131"/>
      <c r="DA130" s="129"/>
      <c r="DB130" s="130"/>
      <c r="DC130" s="130"/>
      <c r="DD130" s="130"/>
      <c r="DE130" s="131"/>
      <c r="DF130" s="129"/>
      <c r="DG130" s="130"/>
      <c r="DH130" s="130"/>
      <c r="DI130" s="130"/>
      <c r="DJ130" s="130"/>
      <c r="DK130" s="131"/>
      <c r="DL130" s="129"/>
      <c r="DM130" s="130"/>
      <c r="DN130" s="130"/>
      <c r="DO130" s="130"/>
      <c r="DP130" s="130"/>
      <c r="DQ130" s="131"/>
      <c r="DR130" s="129"/>
      <c r="DS130" s="130"/>
      <c r="DT130" s="130"/>
      <c r="DU130" s="130"/>
      <c r="DV130" s="130"/>
      <c r="DW130" s="131"/>
      <c r="DX130" s="129"/>
      <c r="DY130" s="130"/>
      <c r="DZ130" s="130"/>
      <c r="EA130" s="130"/>
      <c r="EB130" s="130"/>
      <c r="EC130" s="131"/>
      <c r="ED130" s="129"/>
      <c r="EE130" s="130"/>
      <c r="EF130" s="130"/>
      <c r="EG130" s="130"/>
      <c r="EH130" s="130"/>
      <c r="EI130" s="130"/>
      <c r="EJ130" s="129"/>
      <c r="EK130" s="130"/>
      <c r="EL130" s="130"/>
      <c r="EM130" s="130"/>
      <c r="EN130" s="130"/>
      <c r="EO130" s="130"/>
      <c r="EP130" s="130"/>
      <c r="EQ130" s="130"/>
      <c r="ER130" s="130"/>
      <c r="ES130" s="130" t="s">
        <v>149</v>
      </c>
      <c r="ET130" s="130"/>
      <c r="EU130" s="130"/>
      <c r="EV130" s="130"/>
      <c r="EW130" s="130"/>
      <c r="EX130" s="130"/>
      <c r="EY130" s="130"/>
      <c r="EZ130" s="133"/>
      <c r="FA130" s="132"/>
      <c r="FB130" s="132"/>
      <c r="FC130" s="132"/>
      <c r="FD130" s="132"/>
      <c r="FE130" s="132"/>
      <c r="FF130" s="129"/>
      <c r="FG130" s="130"/>
      <c r="FH130" s="130"/>
      <c r="FI130" s="130"/>
      <c r="FJ130" s="129"/>
      <c r="FK130" s="130"/>
      <c r="FL130" s="131"/>
      <c r="FM130" s="129"/>
    </row>
    <row r="131" spans="1:221">
      <c r="A131" s="95" t="s">
        <v>558</v>
      </c>
      <c r="B131" s="96" t="s">
        <v>564</v>
      </c>
      <c r="C131" s="95">
        <v>2</v>
      </c>
      <c r="D131" s="95">
        <f t="shared" si="5"/>
        <v>1</v>
      </c>
      <c r="E131" s="129"/>
      <c r="F131" s="130"/>
      <c r="G131" s="130"/>
      <c r="H131" s="130"/>
      <c r="I131" s="130"/>
      <c r="J131" s="130"/>
      <c r="K131" s="131"/>
      <c r="L131" s="129"/>
      <c r="M131" s="130"/>
      <c r="N131" s="130"/>
      <c r="O131" s="131"/>
      <c r="P131" s="129"/>
      <c r="Q131" s="130"/>
      <c r="R131" s="130"/>
      <c r="S131" s="130"/>
      <c r="T131" s="130"/>
      <c r="U131" s="131"/>
      <c r="V131" s="129"/>
      <c r="W131" s="130"/>
      <c r="X131" s="130"/>
      <c r="Y131" s="130"/>
      <c r="Z131" s="130"/>
      <c r="AA131" s="130"/>
      <c r="AB131" s="131"/>
      <c r="AC131" s="129"/>
      <c r="AD131" s="130"/>
      <c r="AE131" s="130"/>
      <c r="AF131" s="130"/>
      <c r="AG131" s="130"/>
      <c r="AH131" s="131"/>
      <c r="AI131" s="129"/>
      <c r="AJ131" s="130"/>
      <c r="AK131" s="130"/>
      <c r="AL131" s="130"/>
      <c r="AM131" s="130"/>
      <c r="AN131" s="130"/>
      <c r="AO131" s="131"/>
      <c r="AP131" s="129"/>
      <c r="AQ131" s="130"/>
      <c r="AR131" s="130"/>
      <c r="AS131" s="131"/>
      <c r="AT131" s="129"/>
      <c r="AU131" s="130"/>
      <c r="AV131" s="130"/>
      <c r="AW131" s="130"/>
      <c r="AX131" s="130"/>
      <c r="AY131" s="131"/>
      <c r="AZ131" s="129"/>
      <c r="BA131" s="130"/>
      <c r="BB131" s="130"/>
      <c r="BC131" s="130"/>
      <c r="BD131" s="130"/>
      <c r="BE131" s="130"/>
      <c r="BF131" s="131"/>
      <c r="BG131" s="129"/>
      <c r="BH131" s="130"/>
      <c r="BI131" s="130"/>
      <c r="BJ131" s="130"/>
      <c r="BK131" s="131"/>
      <c r="BL131" s="129"/>
      <c r="BM131" s="130"/>
      <c r="BN131" s="130"/>
      <c r="BO131" s="130"/>
      <c r="BP131" s="130"/>
      <c r="BQ131" s="130"/>
      <c r="BR131" s="130"/>
      <c r="BS131" s="131"/>
      <c r="BT131" s="132"/>
      <c r="BU131" s="132"/>
      <c r="BV131" s="132"/>
      <c r="BW131" s="132"/>
      <c r="BX131" s="132"/>
      <c r="BY131" s="129"/>
      <c r="BZ131" s="130"/>
      <c r="CA131" s="130"/>
      <c r="CB131" s="130"/>
      <c r="CC131" s="130"/>
      <c r="CD131" s="131"/>
      <c r="CE131" s="132"/>
      <c r="CF131" s="132"/>
      <c r="CG131" s="132"/>
      <c r="CH131" s="132"/>
      <c r="CI131" s="132"/>
      <c r="CJ131" s="129"/>
      <c r="CK131" s="130"/>
      <c r="CL131" s="131"/>
      <c r="CM131" s="132"/>
      <c r="CN131" s="132"/>
      <c r="CO131" s="132"/>
      <c r="CP131" s="129"/>
      <c r="CQ131" s="130"/>
      <c r="CR131" s="130"/>
      <c r="CS131" s="130"/>
      <c r="CT131" s="131"/>
      <c r="CU131" s="129"/>
      <c r="CV131" s="130"/>
      <c r="CW131" s="130"/>
      <c r="CX131" s="130"/>
      <c r="CY131" s="130"/>
      <c r="CZ131" s="131"/>
      <c r="DA131" s="129"/>
      <c r="DB131" s="130"/>
      <c r="DC131" s="130"/>
      <c r="DD131" s="130"/>
      <c r="DE131" s="131"/>
      <c r="DF131" s="129"/>
      <c r="DG131" s="130"/>
      <c r="DH131" s="130"/>
      <c r="DI131" s="130"/>
      <c r="DJ131" s="130"/>
      <c r="DK131" s="131"/>
      <c r="DL131" s="129"/>
      <c r="DM131" s="130"/>
      <c r="DN131" s="130"/>
      <c r="DO131" s="130"/>
      <c r="DP131" s="130"/>
      <c r="DQ131" s="131"/>
      <c r="DR131" s="129"/>
      <c r="DS131" s="130"/>
      <c r="DT131" s="130"/>
      <c r="DU131" s="130"/>
      <c r="DV131" s="130"/>
      <c r="DW131" s="131"/>
      <c r="DX131" s="129"/>
      <c r="DY131" s="130"/>
      <c r="DZ131" s="130"/>
      <c r="EA131" s="130"/>
      <c r="EB131" s="130"/>
      <c r="EC131" s="131"/>
      <c r="ED131" s="129"/>
      <c r="EE131" s="130"/>
      <c r="EF131" s="130"/>
      <c r="EG131" s="130"/>
      <c r="EH131" s="130"/>
      <c r="EI131" s="130"/>
      <c r="EJ131" s="129"/>
      <c r="EK131" s="130"/>
      <c r="EL131" s="130"/>
      <c r="EM131" s="130"/>
      <c r="EN131" s="130"/>
      <c r="EO131" s="130"/>
      <c r="EP131" s="130" t="s">
        <v>149</v>
      </c>
      <c r="EQ131" s="130"/>
      <c r="ER131" s="130"/>
      <c r="ES131" s="130"/>
      <c r="ET131" s="130"/>
      <c r="EU131" s="130"/>
      <c r="EV131" s="130"/>
      <c r="EW131" s="130"/>
      <c r="EX131" s="130"/>
      <c r="EY131" s="130"/>
      <c r="EZ131" s="133"/>
      <c r="FA131" s="132"/>
      <c r="FB131" s="132"/>
      <c r="FC131" s="132"/>
      <c r="FD131" s="132"/>
      <c r="FE131" s="132"/>
      <c r="FF131" s="129"/>
      <c r="FG131" s="130"/>
      <c r="FH131" s="130"/>
      <c r="FI131" s="130"/>
      <c r="FJ131" s="129"/>
      <c r="FK131" s="130"/>
      <c r="FL131" s="131"/>
      <c r="FM131" s="129"/>
    </row>
    <row r="132" spans="1:221">
      <c r="A132" s="95" t="s">
        <v>567</v>
      </c>
      <c r="B132" s="96" t="s">
        <v>565</v>
      </c>
      <c r="C132" s="95">
        <v>2</v>
      </c>
      <c r="D132" s="95">
        <f t="shared" si="5"/>
        <v>1</v>
      </c>
      <c r="E132" s="129"/>
      <c r="F132" s="130"/>
      <c r="G132" s="130"/>
      <c r="H132" s="130"/>
      <c r="I132" s="130"/>
      <c r="J132" s="130"/>
      <c r="K132" s="131"/>
      <c r="L132" s="129"/>
      <c r="M132" s="130"/>
      <c r="N132" s="130"/>
      <c r="O132" s="131"/>
      <c r="P132" s="129"/>
      <c r="Q132" s="130"/>
      <c r="R132" s="130"/>
      <c r="S132" s="130"/>
      <c r="T132" s="130"/>
      <c r="U132" s="131"/>
      <c r="V132" s="129"/>
      <c r="W132" s="130"/>
      <c r="X132" s="130"/>
      <c r="Y132" s="130"/>
      <c r="Z132" s="130"/>
      <c r="AA132" s="130"/>
      <c r="AB132" s="131"/>
      <c r="AC132" s="129"/>
      <c r="AD132" s="130"/>
      <c r="AE132" s="130"/>
      <c r="AF132" s="130"/>
      <c r="AG132" s="130"/>
      <c r="AH132" s="131"/>
      <c r="AI132" s="129"/>
      <c r="AJ132" s="130"/>
      <c r="AK132" s="130"/>
      <c r="AL132" s="130"/>
      <c r="AM132" s="130"/>
      <c r="AN132" s="130"/>
      <c r="AO132" s="131"/>
      <c r="AP132" s="129"/>
      <c r="AQ132" s="130"/>
      <c r="AR132" s="130"/>
      <c r="AS132" s="131"/>
      <c r="AT132" s="129"/>
      <c r="AU132" s="130"/>
      <c r="AV132" s="130"/>
      <c r="AW132" s="130"/>
      <c r="AX132" s="130"/>
      <c r="AY132" s="131"/>
      <c r="AZ132" s="129"/>
      <c r="BA132" s="130"/>
      <c r="BB132" s="130"/>
      <c r="BC132" s="130"/>
      <c r="BD132" s="130"/>
      <c r="BE132" s="130"/>
      <c r="BF132" s="131"/>
      <c r="BG132" s="129"/>
      <c r="BH132" s="130"/>
      <c r="BI132" s="130"/>
      <c r="BJ132" s="130"/>
      <c r="BK132" s="131"/>
      <c r="BL132" s="129"/>
      <c r="BM132" s="130"/>
      <c r="BN132" s="130"/>
      <c r="BO132" s="130"/>
      <c r="BP132" s="130"/>
      <c r="BQ132" s="130"/>
      <c r="BR132" s="130"/>
      <c r="BS132" s="131"/>
      <c r="BT132" s="132"/>
      <c r="BU132" s="132"/>
      <c r="BV132" s="132"/>
      <c r="BW132" s="132"/>
      <c r="BX132" s="132"/>
      <c r="BY132" s="129"/>
      <c r="BZ132" s="130"/>
      <c r="CA132" s="130"/>
      <c r="CB132" s="130"/>
      <c r="CC132" s="130"/>
      <c r="CD132" s="131"/>
      <c r="CE132" s="132"/>
      <c r="CF132" s="132"/>
      <c r="CG132" s="132"/>
      <c r="CH132" s="132"/>
      <c r="CI132" s="132"/>
      <c r="CJ132" s="129"/>
      <c r="CK132" s="130"/>
      <c r="CL132" s="131"/>
      <c r="CM132" s="132"/>
      <c r="CN132" s="132"/>
      <c r="CO132" s="132"/>
      <c r="CP132" s="129"/>
      <c r="CQ132" s="130"/>
      <c r="CR132" s="130"/>
      <c r="CS132" s="130"/>
      <c r="CT132" s="131"/>
      <c r="CU132" s="129"/>
      <c r="CV132" s="130"/>
      <c r="CW132" s="130"/>
      <c r="CX132" s="130"/>
      <c r="CY132" s="130"/>
      <c r="CZ132" s="131"/>
      <c r="DA132" s="129"/>
      <c r="DB132" s="130"/>
      <c r="DC132" s="130"/>
      <c r="DD132" s="130"/>
      <c r="DE132" s="131"/>
      <c r="DF132" s="129"/>
      <c r="DG132" s="130"/>
      <c r="DH132" s="130"/>
      <c r="DI132" s="130"/>
      <c r="DJ132" s="130"/>
      <c r="DK132" s="131"/>
      <c r="DL132" s="129"/>
      <c r="DM132" s="130"/>
      <c r="DN132" s="130"/>
      <c r="DO132" s="130"/>
      <c r="DP132" s="130"/>
      <c r="DQ132" s="131"/>
      <c r="DR132" s="129"/>
      <c r="DS132" s="130"/>
      <c r="DT132" s="130"/>
      <c r="DU132" s="130"/>
      <c r="DV132" s="130"/>
      <c r="DW132" s="131"/>
      <c r="DX132" s="129"/>
      <c r="DY132" s="130"/>
      <c r="DZ132" s="130"/>
      <c r="EA132" s="130"/>
      <c r="EB132" s="130"/>
      <c r="EC132" s="131"/>
      <c r="ED132" s="129"/>
      <c r="EE132" s="130"/>
      <c r="EF132" s="130"/>
      <c r="EG132" s="130"/>
      <c r="EH132" s="130"/>
      <c r="EI132" s="130"/>
      <c r="EJ132" s="129"/>
      <c r="EK132" s="130"/>
      <c r="EL132" s="130"/>
      <c r="EM132" s="130"/>
      <c r="EN132" s="130"/>
      <c r="EO132" s="130"/>
      <c r="EP132" s="130"/>
      <c r="EQ132" s="130"/>
      <c r="ER132" s="130"/>
      <c r="ES132" s="130"/>
      <c r="ET132" s="130" t="s">
        <v>149</v>
      </c>
      <c r="EU132" s="130"/>
      <c r="EV132" s="130"/>
      <c r="EW132" s="130"/>
      <c r="EX132" s="130"/>
      <c r="EY132" s="130"/>
      <c r="EZ132" s="133"/>
      <c r="FA132" s="132"/>
      <c r="FB132" s="132"/>
      <c r="FC132" s="132"/>
      <c r="FD132" s="132"/>
      <c r="FE132" s="132"/>
      <c r="FF132" s="129"/>
      <c r="FG132" s="130"/>
      <c r="FH132" s="130"/>
      <c r="FI132" s="130"/>
      <c r="FJ132" s="129"/>
      <c r="FK132" s="130"/>
      <c r="FL132" s="131"/>
      <c r="FM132" s="129"/>
    </row>
    <row r="133" spans="1:221">
      <c r="A133" s="95" t="s">
        <v>558</v>
      </c>
      <c r="B133" s="96" t="s">
        <v>566</v>
      </c>
      <c r="C133" s="95">
        <v>2</v>
      </c>
      <c r="D133" s="95">
        <f t="shared" si="5"/>
        <v>1</v>
      </c>
      <c r="E133" s="129"/>
      <c r="F133" s="130"/>
      <c r="G133" s="130"/>
      <c r="H133" s="130"/>
      <c r="I133" s="130"/>
      <c r="J133" s="130"/>
      <c r="K133" s="131"/>
      <c r="L133" s="129"/>
      <c r="M133" s="130"/>
      <c r="N133" s="130"/>
      <c r="O133" s="131"/>
      <c r="P133" s="129"/>
      <c r="Q133" s="130"/>
      <c r="R133" s="130"/>
      <c r="S133" s="130"/>
      <c r="T133" s="130"/>
      <c r="U133" s="131"/>
      <c r="V133" s="129"/>
      <c r="W133" s="130"/>
      <c r="X133" s="130"/>
      <c r="Y133" s="130"/>
      <c r="Z133" s="130"/>
      <c r="AA133" s="130"/>
      <c r="AB133" s="131"/>
      <c r="AC133" s="129"/>
      <c r="AD133" s="130"/>
      <c r="AE133" s="130"/>
      <c r="AF133" s="130"/>
      <c r="AG133" s="130"/>
      <c r="AH133" s="131"/>
      <c r="AI133" s="129"/>
      <c r="AJ133" s="130"/>
      <c r="AK133" s="130"/>
      <c r="AL133" s="130"/>
      <c r="AM133" s="130"/>
      <c r="AN133" s="130"/>
      <c r="AO133" s="131"/>
      <c r="AP133" s="129"/>
      <c r="AQ133" s="130"/>
      <c r="AR133" s="130"/>
      <c r="AS133" s="131"/>
      <c r="AT133" s="129"/>
      <c r="AU133" s="130"/>
      <c r="AV133" s="130"/>
      <c r="AW133" s="130"/>
      <c r="AX133" s="130"/>
      <c r="AY133" s="131"/>
      <c r="AZ133" s="129"/>
      <c r="BA133" s="130"/>
      <c r="BB133" s="130"/>
      <c r="BC133" s="130"/>
      <c r="BD133" s="130"/>
      <c r="BE133" s="130"/>
      <c r="BF133" s="131"/>
      <c r="BG133" s="129"/>
      <c r="BH133" s="130"/>
      <c r="BI133" s="130"/>
      <c r="BJ133" s="130"/>
      <c r="BK133" s="131"/>
      <c r="BL133" s="129"/>
      <c r="BM133" s="130"/>
      <c r="BN133" s="130"/>
      <c r="BO133" s="130"/>
      <c r="BP133" s="130"/>
      <c r="BQ133" s="130"/>
      <c r="BR133" s="130"/>
      <c r="BS133" s="131"/>
      <c r="BT133" s="132"/>
      <c r="BU133" s="132"/>
      <c r="BV133" s="132"/>
      <c r="BW133" s="132"/>
      <c r="BX133" s="132"/>
      <c r="BY133" s="129"/>
      <c r="BZ133" s="130"/>
      <c r="CA133" s="130"/>
      <c r="CB133" s="130"/>
      <c r="CC133" s="130"/>
      <c r="CD133" s="131"/>
      <c r="CE133" s="132"/>
      <c r="CF133" s="132"/>
      <c r="CG133" s="132"/>
      <c r="CH133" s="132"/>
      <c r="CI133" s="132"/>
      <c r="CJ133" s="129"/>
      <c r="CK133" s="130"/>
      <c r="CL133" s="131"/>
      <c r="CM133" s="132"/>
      <c r="CN133" s="132"/>
      <c r="CO133" s="132"/>
      <c r="CP133" s="129"/>
      <c r="CQ133" s="130"/>
      <c r="CR133" s="130"/>
      <c r="CS133" s="130"/>
      <c r="CT133" s="131"/>
      <c r="CU133" s="129"/>
      <c r="CV133" s="130"/>
      <c r="CW133" s="130"/>
      <c r="CX133" s="130"/>
      <c r="CY133" s="130"/>
      <c r="CZ133" s="131"/>
      <c r="DA133" s="129"/>
      <c r="DB133" s="130"/>
      <c r="DC133" s="130"/>
      <c r="DD133" s="130"/>
      <c r="DE133" s="131"/>
      <c r="DF133" s="129"/>
      <c r="DG133" s="130"/>
      <c r="DH133" s="130"/>
      <c r="DI133" s="130"/>
      <c r="DJ133" s="130"/>
      <c r="DK133" s="131"/>
      <c r="DL133" s="129"/>
      <c r="DM133" s="130"/>
      <c r="DN133" s="130"/>
      <c r="DO133" s="130"/>
      <c r="DP133" s="130"/>
      <c r="DQ133" s="131"/>
      <c r="DR133" s="129"/>
      <c r="DS133" s="130"/>
      <c r="DT133" s="130"/>
      <c r="DU133" s="130"/>
      <c r="DV133" s="130"/>
      <c r="DW133" s="131"/>
      <c r="DX133" s="129"/>
      <c r="DY133" s="130"/>
      <c r="DZ133" s="130"/>
      <c r="EA133" s="130"/>
      <c r="EB133" s="130"/>
      <c r="EC133" s="131"/>
      <c r="ED133" s="129"/>
      <c r="EE133" s="130"/>
      <c r="EF133" s="130"/>
      <c r="EG133" s="130"/>
      <c r="EH133" s="130"/>
      <c r="EI133" s="130"/>
      <c r="EJ133" s="129"/>
      <c r="EK133" s="130"/>
      <c r="EL133" s="130"/>
      <c r="EM133" s="130"/>
      <c r="EN133" s="130"/>
      <c r="EO133" s="130"/>
      <c r="EP133" s="130"/>
      <c r="EQ133" s="130"/>
      <c r="ER133" s="130"/>
      <c r="ES133" s="130"/>
      <c r="ET133" s="130" t="s">
        <v>149</v>
      </c>
      <c r="EU133" s="130"/>
      <c r="EV133" s="130"/>
      <c r="EW133" s="130"/>
      <c r="EX133" s="130"/>
      <c r="EY133" s="130"/>
      <c r="EZ133" s="133"/>
      <c r="FA133" s="132"/>
      <c r="FB133" s="132"/>
      <c r="FC133" s="132"/>
      <c r="FD133" s="132"/>
      <c r="FE133" s="132"/>
      <c r="FF133" s="129"/>
      <c r="FG133" s="130"/>
      <c r="FH133" s="130"/>
      <c r="FI133" s="130"/>
      <c r="FJ133" s="129"/>
      <c r="FK133" s="130"/>
      <c r="FL133" s="131"/>
      <c r="FM133" s="129"/>
    </row>
    <row r="134" spans="1:221">
      <c r="A134" s="95" t="s">
        <v>567</v>
      </c>
      <c r="B134" s="96" t="s">
        <v>570</v>
      </c>
      <c r="C134" s="95">
        <v>1</v>
      </c>
      <c r="D134" s="95">
        <f t="shared" si="5"/>
        <v>1</v>
      </c>
      <c r="E134" s="129"/>
      <c r="F134" s="130"/>
      <c r="G134" s="130"/>
      <c r="H134" s="130"/>
      <c r="I134" s="130"/>
      <c r="J134" s="130"/>
      <c r="K134" s="131"/>
      <c r="L134" s="129"/>
      <c r="M134" s="130"/>
      <c r="N134" s="130"/>
      <c r="O134" s="131"/>
      <c r="P134" s="129"/>
      <c r="Q134" s="130"/>
      <c r="R134" s="130"/>
      <c r="S134" s="130"/>
      <c r="T134" s="130"/>
      <c r="U134" s="131"/>
      <c r="V134" s="129"/>
      <c r="W134" s="130"/>
      <c r="X134" s="130"/>
      <c r="Y134" s="130"/>
      <c r="Z134" s="130"/>
      <c r="AA134" s="130"/>
      <c r="AB134" s="131"/>
      <c r="AC134" s="129"/>
      <c r="AD134" s="130"/>
      <c r="AE134" s="130"/>
      <c r="AF134" s="130"/>
      <c r="AG134" s="130"/>
      <c r="AH134" s="131"/>
      <c r="AI134" s="129"/>
      <c r="AJ134" s="130"/>
      <c r="AK134" s="130"/>
      <c r="AL134" s="130"/>
      <c r="AM134" s="130"/>
      <c r="AN134" s="130"/>
      <c r="AO134" s="131"/>
      <c r="AP134" s="129"/>
      <c r="AQ134" s="130"/>
      <c r="AR134" s="130"/>
      <c r="AS134" s="131"/>
      <c r="AT134" s="129"/>
      <c r="AU134" s="130"/>
      <c r="AV134" s="130"/>
      <c r="AW134" s="130"/>
      <c r="AX134" s="130"/>
      <c r="AY134" s="131"/>
      <c r="AZ134" s="129"/>
      <c r="BA134" s="130"/>
      <c r="BB134" s="130"/>
      <c r="BC134" s="130"/>
      <c r="BD134" s="130"/>
      <c r="BE134" s="130"/>
      <c r="BF134" s="131"/>
      <c r="BG134" s="129"/>
      <c r="BH134" s="130"/>
      <c r="BI134" s="130"/>
      <c r="BJ134" s="130"/>
      <c r="BK134" s="131"/>
      <c r="BL134" s="129"/>
      <c r="BM134" s="130"/>
      <c r="BN134" s="130"/>
      <c r="BO134" s="130"/>
      <c r="BP134" s="130"/>
      <c r="BQ134" s="130"/>
      <c r="BR134" s="130"/>
      <c r="BS134" s="131"/>
      <c r="BT134" s="132"/>
      <c r="BU134" s="132"/>
      <c r="BV134" s="132"/>
      <c r="BW134" s="132"/>
      <c r="BX134" s="132"/>
      <c r="BY134" s="129"/>
      <c r="BZ134" s="130"/>
      <c r="CA134" s="130"/>
      <c r="CB134" s="130"/>
      <c r="CC134" s="130"/>
      <c r="CD134" s="131"/>
      <c r="CE134" s="132"/>
      <c r="CF134" s="132"/>
      <c r="CG134" s="132"/>
      <c r="CH134" s="132"/>
      <c r="CI134" s="132"/>
      <c r="CJ134" s="129"/>
      <c r="CK134" s="130"/>
      <c r="CL134" s="131"/>
      <c r="CM134" s="132"/>
      <c r="CN134" s="132"/>
      <c r="CO134" s="132"/>
      <c r="CP134" s="129"/>
      <c r="CQ134" s="130"/>
      <c r="CR134" s="130"/>
      <c r="CS134" s="130"/>
      <c r="CT134" s="131"/>
      <c r="CU134" s="129"/>
      <c r="CV134" s="130"/>
      <c r="CW134" s="130"/>
      <c r="CX134" s="130"/>
      <c r="CY134" s="130"/>
      <c r="CZ134" s="131"/>
      <c r="DA134" s="129"/>
      <c r="DB134" s="130"/>
      <c r="DC134" s="130"/>
      <c r="DD134" s="130"/>
      <c r="DE134" s="131"/>
      <c r="DF134" s="129"/>
      <c r="DG134" s="130"/>
      <c r="DH134" s="130"/>
      <c r="DI134" s="130"/>
      <c r="DJ134" s="130"/>
      <c r="DK134" s="131"/>
      <c r="DL134" s="129"/>
      <c r="DM134" s="130"/>
      <c r="DN134" s="130"/>
      <c r="DO134" s="130"/>
      <c r="DP134" s="130"/>
      <c r="DQ134" s="131"/>
      <c r="DR134" s="129"/>
      <c r="DS134" s="130"/>
      <c r="DT134" s="130"/>
      <c r="DU134" s="130"/>
      <c r="DV134" s="130"/>
      <c r="DW134" s="131"/>
      <c r="DX134" s="129"/>
      <c r="DY134" s="130"/>
      <c r="DZ134" s="130"/>
      <c r="EA134" s="130"/>
      <c r="EB134" s="130"/>
      <c r="EC134" s="131"/>
      <c r="ED134" s="129"/>
      <c r="EE134" s="130"/>
      <c r="EF134" s="130"/>
      <c r="EG134" s="130"/>
      <c r="EH134" s="130"/>
      <c r="EI134" s="130"/>
      <c r="EJ134" s="129"/>
      <c r="EK134" s="130"/>
      <c r="EL134" s="130"/>
      <c r="EM134" s="130"/>
      <c r="EN134" s="130"/>
      <c r="EO134" s="130"/>
      <c r="EP134" s="130"/>
      <c r="EQ134" s="130"/>
      <c r="ER134" s="130"/>
      <c r="ES134" s="130"/>
      <c r="ET134" s="130"/>
      <c r="EU134" s="130"/>
      <c r="EV134" s="130"/>
      <c r="EW134" s="130"/>
      <c r="EX134" s="130"/>
      <c r="EY134" s="130"/>
      <c r="EZ134" s="133"/>
      <c r="FA134" s="132"/>
      <c r="FB134" s="132"/>
      <c r="FC134" s="132"/>
      <c r="FD134" s="132"/>
      <c r="FE134" s="132"/>
      <c r="FF134" s="129"/>
      <c r="FG134" s="130"/>
      <c r="FH134" s="130" t="s">
        <v>149</v>
      </c>
      <c r="FI134" s="130"/>
      <c r="FJ134" s="129"/>
      <c r="FK134" s="130"/>
      <c r="FL134" s="131"/>
      <c r="FM134" s="129"/>
    </row>
    <row r="135" spans="1:221">
      <c r="A135" s="95" t="s">
        <v>326</v>
      </c>
      <c r="B135" s="96" t="s">
        <v>571</v>
      </c>
      <c r="C135" s="95">
        <v>4</v>
      </c>
      <c r="D135" s="95">
        <f t="shared" si="5"/>
        <v>1</v>
      </c>
      <c r="E135" s="129"/>
      <c r="F135" s="130"/>
      <c r="G135" s="130"/>
      <c r="H135" s="130"/>
      <c r="I135" s="130"/>
      <c r="J135" s="130"/>
      <c r="K135" s="131"/>
      <c r="L135" s="129"/>
      <c r="M135" s="130"/>
      <c r="N135" s="130"/>
      <c r="O135" s="131"/>
      <c r="P135" s="129"/>
      <c r="Q135" s="130"/>
      <c r="R135" s="130"/>
      <c r="S135" s="130"/>
      <c r="T135" s="130"/>
      <c r="U135" s="131"/>
      <c r="V135" s="129"/>
      <c r="W135" s="130"/>
      <c r="X135" s="130"/>
      <c r="Y135" s="130"/>
      <c r="Z135" s="130"/>
      <c r="AA135" s="130"/>
      <c r="AB135" s="131"/>
      <c r="AC135" s="129"/>
      <c r="AD135" s="130"/>
      <c r="AE135" s="130"/>
      <c r="AF135" s="130"/>
      <c r="AG135" s="130"/>
      <c r="AH135" s="131"/>
      <c r="AI135" s="129"/>
      <c r="AJ135" s="130"/>
      <c r="AK135" s="130"/>
      <c r="AL135" s="130"/>
      <c r="AM135" s="130"/>
      <c r="AN135" s="130"/>
      <c r="AO135" s="131"/>
      <c r="AP135" s="129"/>
      <c r="AQ135" s="130"/>
      <c r="AR135" s="130"/>
      <c r="AS135" s="131"/>
      <c r="AT135" s="129"/>
      <c r="AU135" s="130"/>
      <c r="AV135" s="130"/>
      <c r="AW135" s="130"/>
      <c r="AX135" s="130"/>
      <c r="AY135" s="131"/>
      <c r="AZ135" s="129"/>
      <c r="BA135" s="130"/>
      <c r="BB135" s="130"/>
      <c r="BC135" s="130"/>
      <c r="BD135" s="130"/>
      <c r="BE135" s="130"/>
      <c r="BF135" s="131"/>
      <c r="BG135" s="129"/>
      <c r="BH135" s="130"/>
      <c r="BI135" s="130"/>
      <c r="BJ135" s="130"/>
      <c r="BK135" s="131"/>
      <c r="BL135" s="129"/>
      <c r="BM135" s="130"/>
      <c r="BN135" s="130"/>
      <c r="BO135" s="130"/>
      <c r="BP135" s="130"/>
      <c r="BQ135" s="130"/>
      <c r="BR135" s="130"/>
      <c r="BS135" s="131"/>
      <c r="BT135" s="132"/>
      <c r="BU135" s="132"/>
      <c r="BV135" s="132"/>
      <c r="BW135" s="132"/>
      <c r="BX135" s="132"/>
      <c r="BY135" s="129"/>
      <c r="BZ135" s="130"/>
      <c r="CA135" s="130"/>
      <c r="CB135" s="130"/>
      <c r="CC135" s="130"/>
      <c r="CD135" s="131"/>
      <c r="CE135" s="132"/>
      <c r="CF135" s="132"/>
      <c r="CG135" s="132"/>
      <c r="CH135" s="132"/>
      <c r="CI135" s="132"/>
      <c r="CJ135" s="129"/>
      <c r="CK135" s="130"/>
      <c r="CL135" s="131"/>
      <c r="CM135" s="132"/>
      <c r="CN135" s="132"/>
      <c r="CO135" s="132"/>
      <c r="CP135" s="129"/>
      <c r="CQ135" s="130"/>
      <c r="CR135" s="130"/>
      <c r="CS135" s="130"/>
      <c r="CT135" s="131"/>
      <c r="CU135" s="129"/>
      <c r="CV135" s="130"/>
      <c r="CW135" s="130"/>
      <c r="CX135" s="130"/>
      <c r="CY135" s="130"/>
      <c r="CZ135" s="131"/>
      <c r="DA135" s="129"/>
      <c r="DB135" s="130"/>
      <c r="DC135" s="130"/>
      <c r="DD135" s="130"/>
      <c r="DE135" s="131"/>
      <c r="DF135" s="129"/>
      <c r="DG135" s="130"/>
      <c r="DH135" s="130"/>
      <c r="DI135" s="130"/>
      <c r="DJ135" s="130"/>
      <c r="DK135" s="131"/>
      <c r="DL135" s="129"/>
      <c r="DM135" s="130"/>
      <c r="DN135" s="130"/>
      <c r="DO135" s="130"/>
      <c r="DP135" s="130"/>
      <c r="DQ135" s="131"/>
      <c r="DR135" s="129"/>
      <c r="DS135" s="130"/>
      <c r="DT135" s="130"/>
      <c r="DU135" s="130"/>
      <c r="DV135" s="130"/>
      <c r="DW135" s="131"/>
      <c r="DX135" s="129"/>
      <c r="DY135" s="130"/>
      <c r="DZ135" s="130"/>
      <c r="EA135" s="130"/>
      <c r="EB135" s="130"/>
      <c r="EC135" s="131"/>
      <c r="ED135" s="129"/>
      <c r="EE135" s="130"/>
      <c r="EF135" s="130"/>
      <c r="EG135" s="130"/>
      <c r="EH135" s="130"/>
      <c r="EI135" s="130"/>
      <c r="EJ135" s="129"/>
      <c r="EK135" s="130"/>
      <c r="EL135" s="130"/>
      <c r="EM135" s="130"/>
      <c r="EN135" s="130"/>
      <c r="EO135" s="130"/>
      <c r="EP135" s="130"/>
      <c r="EQ135" s="130"/>
      <c r="ER135" s="130"/>
      <c r="ES135" s="130"/>
      <c r="ET135" s="130"/>
      <c r="EU135" s="130"/>
      <c r="EV135" s="130"/>
      <c r="EW135" s="130"/>
      <c r="EX135" s="130"/>
      <c r="EY135" s="130"/>
      <c r="EZ135" s="133"/>
      <c r="FA135" s="132"/>
      <c r="FB135" s="132"/>
      <c r="FC135" s="132"/>
      <c r="FD135" s="132"/>
      <c r="FE135" s="132"/>
      <c r="FF135" s="129"/>
      <c r="FG135" s="130"/>
      <c r="FH135" s="130"/>
      <c r="FI135" s="130"/>
      <c r="FJ135" s="129"/>
      <c r="FK135" s="130"/>
      <c r="FL135" s="131"/>
      <c r="FM135" s="129"/>
      <c r="GD135" s="99" t="s">
        <v>149</v>
      </c>
    </row>
    <row r="136" spans="1:221">
      <c r="B136" s="96" t="s">
        <v>575</v>
      </c>
      <c r="C136" s="95">
        <v>4</v>
      </c>
      <c r="D136" s="95">
        <f t="shared" si="5"/>
        <v>1</v>
      </c>
      <c r="E136" s="129"/>
      <c r="F136" s="130"/>
      <c r="G136" s="130"/>
      <c r="H136" s="130"/>
      <c r="I136" s="130"/>
      <c r="J136" s="130"/>
      <c r="K136" s="131"/>
      <c r="L136" s="129"/>
      <c r="M136" s="130"/>
      <c r="N136" s="130"/>
      <c r="O136" s="131"/>
      <c r="P136" s="129"/>
      <c r="Q136" s="130"/>
      <c r="R136" s="130"/>
      <c r="S136" s="130"/>
      <c r="T136" s="130"/>
      <c r="U136" s="131"/>
      <c r="V136" s="129"/>
      <c r="W136" s="130"/>
      <c r="X136" s="130"/>
      <c r="Y136" s="130"/>
      <c r="Z136" s="130"/>
      <c r="AA136" s="130"/>
      <c r="AB136" s="131"/>
      <c r="AC136" s="129"/>
      <c r="AD136" s="130"/>
      <c r="AE136" s="130"/>
      <c r="AF136" s="130"/>
      <c r="AG136" s="130"/>
      <c r="AH136" s="131"/>
      <c r="AI136" s="129"/>
      <c r="AJ136" s="130"/>
      <c r="AK136" s="130"/>
      <c r="AL136" s="130"/>
      <c r="AM136" s="130"/>
      <c r="AN136" s="130"/>
      <c r="AO136" s="131"/>
      <c r="AP136" s="129"/>
      <c r="AQ136" s="130"/>
      <c r="AR136" s="130"/>
      <c r="AS136" s="131"/>
      <c r="AT136" s="129"/>
      <c r="AU136" s="130"/>
      <c r="AV136" s="130"/>
      <c r="AW136" s="130"/>
      <c r="AX136" s="130"/>
      <c r="AY136" s="131"/>
      <c r="AZ136" s="129"/>
      <c r="BA136" s="130"/>
      <c r="BB136" s="130"/>
      <c r="BC136" s="130"/>
      <c r="BD136" s="130"/>
      <c r="BE136" s="130"/>
      <c r="BF136" s="131"/>
      <c r="BG136" s="129"/>
      <c r="BH136" s="130"/>
      <c r="BI136" s="130"/>
      <c r="BJ136" s="130"/>
      <c r="BK136" s="131"/>
      <c r="BL136" s="129"/>
      <c r="BM136" s="130"/>
      <c r="BN136" s="130"/>
      <c r="BO136" s="130"/>
      <c r="BP136" s="130"/>
      <c r="BQ136" s="130"/>
      <c r="BR136" s="130"/>
      <c r="BS136" s="131"/>
      <c r="BT136" s="132"/>
      <c r="BU136" s="132"/>
      <c r="BV136" s="132"/>
      <c r="BW136" s="132"/>
      <c r="BX136" s="132"/>
      <c r="BY136" s="129"/>
      <c r="BZ136" s="130"/>
      <c r="CA136" s="130"/>
      <c r="CB136" s="130"/>
      <c r="CC136" s="130"/>
      <c r="CD136" s="131"/>
      <c r="CE136" s="132"/>
      <c r="CF136" s="132"/>
      <c r="CG136" s="132"/>
      <c r="CH136" s="132"/>
      <c r="CI136" s="132"/>
      <c r="CJ136" s="129"/>
      <c r="CK136" s="130"/>
      <c r="CL136" s="131"/>
      <c r="CM136" s="132"/>
      <c r="CN136" s="132"/>
      <c r="CO136" s="132"/>
      <c r="CP136" s="129"/>
      <c r="CQ136" s="130"/>
      <c r="CR136" s="130"/>
      <c r="CS136" s="130"/>
      <c r="CT136" s="131"/>
      <c r="CU136" s="129"/>
      <c r="CV136" s="130"/>
      <c r="CW136" s="130"/>
      <c r="CX136" s="130"/>
      <c r="CY136" s="130"/>
      <c r="CZ136" s="131"/>
      <c r="DA136" s="129"/>
      <c r="DB136" s="130"/>
      <c r="DC136" s="130"/>
      <c r="DD136" s="130"/>
      <c r="DE136" s="131"/>
      <c r="DF136" s="129"/>
      <c r="DG136" s="130"/>
      <c r="DH136" s="130"/>
      <c r="DI136" s="130"/>
      <c r="DJ136" s="130"/>
      <c r="DK136" s="131"/>
      <c r="DL136" s="129"/>
      <c r="DM136" s="130"/>
      <c r="DN136" s="130"/>
      <c r="DO136" s="130"/>
      <c r="DP136" s="130"/>
      <c r="DQ136" s="131"/>
      <c r="DR136" s="129"/>
      <c r="DS136" s="130"/>
      <c r="DT136" s="130"/>
      <c r="DU136" s="130"/>
      <c r="DV136" s="130"/>
      <c r="DW136" s="131"/>
      <c r="DX136" s="129"/>
      <c r="DY136" s="130"/>
      <c r="DZ136" s="130"/>
      <c r="EA136" s="130"/>
      <c r="EB136" s="130"/>
      <c r="EC136" s="131"/>
      <c r="ED136" s="129"/>
      <c r="EE136" s="130"/>
      <c r="EF136" s="130"/>
      <c r="EG136" s="130"/>
      <c r="EH136" s="130"/>
      <c r="EI136" s="130"/>
      <c r="EJ136" s="129"/>
      <c r="EK136" s="130"/>
      <c r="EL136" s="130"/>
      <c r="EM136" s="130"/>
      <c r="EN136" s="130"/>
      <c r="EO136" s="130"/>
      <c r="EP136" s="130"/>
      <c r="EQ136" s="130"/>
      <c r="ER136" s="130"/>
      <c r="ES136" s="130"/>
      <c r="ET136" s="130"/>
      <c r="EU136" s="130"/>
      <c r="EV136" s="130"/>
      <c r="EW136" s="130"/>
      <c r="EX136" s="130"/>
      <c r="EY136" s="130"/>
      <c r="EZ136" s="133"/>
      <c r="FA136" s="132"/>
      <c r="FB136" s="132"/>
      <c r="FC136" s="132"/>
      <c r="FD136" s="132"/>
      <c r="FE136" s="132"/>
      <c r="FF136" s="129"/>
      <c r="FG136" s="130"/>
      <c r="FH136" s="130"/>
      <c r="FI136" s="130"/>
      <c r="FJ136" s="129"/>
      <c r="FK136" s="130"/>
      <c r="FL136" s="131"/>
      <c r="FM136" s="129"/>
      <c r="GM136" s="97" t="s">
        <v>149</v>
      </c>
    </row>
    <row r="137" spans="1:221" ht="30">
      <c r="B137" s="96" t="s">
        <v>576</v>
      </c>
      <c r="C137" s="95">
        <v>4</v>
      </c>
      <c r="D137" s="95">
        <f t="shared" si="5"/>
        <v>1</v>
      </c>
      <c r="E137" s="129"/>
      <c r="F137" s="130"/>
      <c r="G137" s="130"/>
      <c r="H137" s="130"/>
      <c r="I137" s="130"/>
      <c r="J137" s="130"/>
      <c r="K137" s="131"/>
      <c r="L137" s="129"/>
      <c r="M137" s="130"/>
      <c r="N137" s="130"/>
      <c r="O137" s="131"/>
      <c r="P137" s="129"/>
      <c r="Q137" s="130"/>
      <c r="R137" s="130"/>
      <c r="S137" s="130"/>
      <c r="T137" s="130"/>
      <c r="U137" s="131"/>
      <c r="V137" s="129"/>
      <c r="W137" s="130"/>
      <c r="X137" s="130"/>
      <c r="Y137" s="130"/>
      <c r="Z137" s="130"/>
      <c r="AA137" s="130"/>
      <c r="AB137" s="131"/>
      <c r="AC137" s="129"/>
      <c r="AD137" s="130"/>
      <c r="AE137" s="130"/>
      <c r="AF137" s="130"/>
      <c r="AG137" s="130"/>
      <c r="AH137" s="131"/>
      <c r="AI137" s="129"/>
      <c r="AJ137" s="130"/>
      <c r="AK137" s="130"/>
      <c r="AL137" s="130"/>
      <c r="AM137" s="130"/>
      <c r="AN137" s="130"/>
      <c r="AO137" s="131"/>
      <c r="AP137" s="129"/>
      <c r="AQ137" s="130"/>
      <c r="AR137" s="130"/>
      <c r="AS137" s="131"/>
      <c r="AT137" s="129"/>
      <c r="AU137" s="130"/>
      <c r="AV137" s="130"/>
      <c r="AW137" s="130"/>
      <c r="AX137" s="130"/>
      <c r="AY137" s="131"/>
      <c r="AZ137" s="129"/>
      <c r="BA137" s="130"/>
      <c r="BB137" s="130"/>
      <c r="BC137" s="130"/>
      <c r="BD137" s="130"/>
      <c r="BE137" s="130"/>
      <c r="BF137" s="131"/>
      <c r="BG137" s="129"/>
      <c r="BH137" s="130"/>
      <c r="BI137" s="130"/>
      <c r="BJ137" s="130"/>
      <c r="BK137" s="131"/>
      <c r="BL137" s="129"/>
      <c r="BM137" s="130"/>
      <c r="BN137" s="130"/>
      <c r="BO137" s="130"/>
      <c r="BP137" s="130"/>
      <c r="BQ137" s="130"/>
      <c r="BR137" s="130"/>
      <c r="BS137" s="131"/>
      <c r="BT137" s="132"/>
      <c r="BU137" s="132"/>
      <c r="BV137" s="132"/>
      <c r="BW137" s="132"/>
      <c r="BX137" s="132"/>
      <c r="BY137" s="129"/>
      <c r="BZ137" s="130"/>
      <c r="CA137" s="130"/>
      <c r="CB137" s="130"/>
      <c r="CC137" s="130"/>
      <c r="CD137" s="131"/>
      <c r="CE137" s="132"/>
      <c r="CF137" s="132"/>
      <c r="CG137" s="132"/>
      <c r="CH137" s="132"/>
      <c r="CI137" s="132"/>
      <c r="CJ137" s="129"/>
      <c r="CK137" s="130"/>
      <c r="CL137" s="131"/>
      <c r="CM137" s="132"/>
      <c r="CN137" s="132"/>
      <c r="CO137" s="132"/>
      <c r="CP137" s="129"/>
      <c r="CQ137" s="130"/>
      <c r="CR137" s="130"/>
      <c r="CS137" s="130"/>
      <c r="CT137" s="131"/>
      <c r="CU137" s="129"/>
      <c r="CV137" s="130"/>
      <c r="CW137" s="130"/>
      <c r="CX137" s="130"/>
      <c r="CY137" s="130"/>
      <c r="CZ137" s="131"/>
      <c r="DA137" s="129"/>
      <c r="DB137" s="130"/>
      <c r="DC137" s="130"/>
      <c r="DD137" s="130"/>
      <c r="DE137" s="131"/>
      <c r="DF137" s="129"/>
      <c r="DG137" s="130"/>
      <c r="DH137" s="130"/>
      <c r="DI137" s="130"/>
      <c r="DJ137" s="130"/>
      <c r="DK137" s="131"/>
      <c r="DL137" s="129"/>
      <c r="DM137" s="130"/>
      <c r="DN137" s="130"/>
      <c r="DO137" s="130"/>
      <c r="DP137" s="130"/>
      <c r="DQ137" s="131"/>
      <c r="DR137" s="129"/>
      <c r="DS137" s="130"/>
      <c r="DT137" s="130"/>
      <c r="DU137" s="130"/>
      <c r="DV137" s="130"/>
      <c r="DW137" s="131"/>
      <c r="DX137" s="129"/>
      <c r="DY137" s="130"/>
      <c r="DZ137" s="130"/>
      <c r="EA137" s="130"/>
      <c r="EB137" s="130"/>
      <c r="EC137" s="131"/>
      <c r="ED137" s="129"/>
      <c r="EE137" s="130"/>
      <c r="EF137" s="130"/>
      <c r="EG137" s="130"/>
      <c r="EH137" s="130"/>
      <c r="EI137" s="130"/>
      <c r="EJ137" s="129"/>
      <c r="EK137" s="130"/>
      <c r="EL137" s="130"/>
      <c r="EM137" s="130"/>
      <c r="EN137" s="130"/>
      <c r="EO137" s="130"/>
      <c r="EP137" s="130"/>
      <c r="EQ137" s="130"/>
      <c r="ER137" s="130"/>
      <c r="ES137" s="130"/>
      <c r="ET137" s="130"/>
      <c r="EU137" s="130"/>
      <c r="EV137" s="130"/>
      <c r="EW137" s="130"/>
      <c r="EX137" s="130"/>
      <c r="EY137" s="130"/>
      <c r="EZ137" s="133"/>
      <c r="FA137" s="132"/>
      <c r="FB137" s="132"/>
      <c r="FC137" s="132"/>
      <c r="FD137" s="132"/>
      <c r="FE137" s="132"/>
      <c r="FF137" s="129"/>
      <c r="FG137" s="130"/>
      <c r="FH137" s="130"/>
      <c r="FI137" s="130"/>
      <c r="FJ137" s="129"/>
      <c r="FK137" s="130"/>
      <c r="FL137" s="131"/>
      <c r="FM137" s="129"/>
      <c r="GM137" s="97" t="s">
        <v>149</v>
      </c>
    </row>
    <row r="138" spans="1:221">
      <c r="B138" s="96" t="s">
        <v>578</v>
      </c>
      <c r="C138" s="95">
        <v>3</v>
      </c>
      <c r="D138" s="95">
        <f t="shared" si="5"/>
        <v>1</v>
      </c>
      <c r="E138" s="129"/>
      <c r="F138" s="130"/>
      <c r="G138" s="130"/>
      <c r="H138" s="130"/>
      <c r="I138" s="130"/>
      <c r="J138" s="130"/>
      <c r="K138" s="131"/>
      <c r="L138" s="129"/>
      <c r="M138" s="130"/>
      <c r="N138" s="130"/>
      <c r="O138" s="131"/>
      <c r="P138" s="129"/>
      <c r="Q138" s="130"/>
      <c r="R138" s="130"/>
      <c r="S138" s="130"/>
      <c r="T138" s="130"/>
      <c r="U138" s="131"/>
      <c r="V138" s="129"/>
      <c r="W138" s="130"/>
      <c r="X138" s="130"/>
      <c r="Y138" s="130"/>
      <c r="Z138" s="130"/>
      <c r="AA138" s="130"/>
      <c r="AB138" s="131"/>
      <c r="AC138" s="129"/>
      <c r="AD138" s="130"/>
      <c r="AE138" s="130"/>
      <c r="AF138" s="130"/>
      <c r="AG138" s="130"/>
      <c r="AH138" s="131"/>
      <c r="AI138" s="129"/>
      <c r="AJ138" s="130"/>
      <c r="AK138" s="130"/>
      <c r="AL138" s="130"/>
      <c r="AM138" s="130"/>
      <c r="AN138" s="130"/>
      <c r="AO138" s="131"/>
      <c r="AP138" s="129"/>
      <c r="AQ138" s="130"/>
      <c r="AR138" s="130"/>
      <c r="AS138" s="131"/>
      <c r="AT138" s="129"/>
      <c r="AU138" s="130"/>
      <c r="AV138" s="130"/>
      <c r="AW138" s="130"/>
      <c r="AX138" s="130"/>
      <c r="AY138" s="131"/>
      <c r="AZ138" s="129"/>
      <c r="BA138" s="130"/>
      <c r="BB138" s="130"/>
      <c r="BC138" s="130"/>
      <c r="BD138" s="130"/>
      <c r="BE138" s="130"/>
      <c r="BF138" s="131"/>
      <c r="BG138" s="129"/>
      <c r="BH138" s="130"/>
      <c r="BI138" s="130"/>
      <c r="BJ138" s="130"/>
      <c r="BK138" s="131"/>
      <c r="BL138" s="129"/>
      <c r="BM138" s="130"/>
      <c r="BN138" s="130"/>
      <c r="BO138" s="130"/>
      <c r="BP138" s="130"/>
      <c r="BQ138" s="130"/>
      <c r="BR138" s="130"/>
      <c r="BS138" s="131"/>
      <c r="BT138" s="132"/>
      <c r="BU138" s="132"/>
      <c r="BV138" s="132"/>
      <c r="BW138" s="132"/>
      <c r="BX138" s="132"/>
      <c r="BY138" s="129"/>
      <c r="BZ138" s="130"/>
      <c r="CA138" s="130"/>
      <c r="CB138" s="130"/>
      <c r="CC138" s="130"/>
      <c r="CD138" s="131"/>
      <c r="CE138" s="132"/>
      <c r="CF138" s="132"/>
      <c r="CG138" s="132"/>
      <c r="CH138" s="132"/>
      <c r="CI138" s="132"/>
      <c r="CJ138" s="129"/>
      <c r="CK138" s="130"/>
      <c r="CL138" s="131"/>
      <c r="CM138" s="132"/>
      <c r="CN138" s="132"/>
      <c r="CO138" s="132"/>
      <c r="CP138" s="129"/>
      <c r="CQ138" s="130"/>
      <c r="CR138" s="130"/>
      <c r="CS138" s="130"/>
      <c r="CT138" s="131"/>
      <c r="CU138" s="129"/>
      <c r="CV138" s="130"/>
      <c r="CW138" s="130"/>
      <c r="CX138" s="130"/>
      <c r="CY138" s="130"/>
      <c r="CZ138" s="131"/>
      <c r="DA138" s="129"/>
      <c r="DB138" s="130"/>
      <c r="DC138" s="130"/>
      <c r="DD138" s="130"/>
      <c r="DE138" s="131"/>
      <c r="DF138" s="129"/>
      <c r="DG138" s="130"/>
      <c r="DH138" s="130"/>
      <c r="DI138" s="130"/>
      <c r="DJ138" s="130"/>
      <c r="DK138" s="131"/>
      <c r="DL138" s="129"/>
      <c r="DM138" s="130"/>
      <c r="DN138" s="130"/>
      <c r="DO138" s="130"/>
      <c r="DP138" s="130"/>
      <c r="DQ138" s="131"/>
      <c r="DR138" s="129"/>
      <c r="DS138" s="130"/>
      <c r="DT138" s="130"/>
      <c r="DU138" s="130"/>
      <c r="DV138" s="130"/>
      <c r="DW138" s="131"/>
      <c r="DX138" s="129"/>
      <c r="DY138" s="130"/>
      <c r="DZ138" s="130"/>
      <c r="EA138" s="130"/>
      <c r="EB138" s="130"/>
      <c r="EC138" s="131"/>
      <c r="ED138" s="129"/>
      <c r="EE138" s="130"/>
      <c r="EF138" s="130"/>
      <c r="EG138" s="130"/>
      <c r="EH138" s="130"/>
      <c r="EI138" s="130"/>
      <c r="EJ138" s="129"/>
      <c r="EK138" s="130"/>
      <c r="EL138" s="130"/>
      <c r="EM138" s="130"/>
      <c r="EN138" s="130"/>
      <c r="EO138" s="130"/>
      <c r="EP138" s="130"/>
      <c r="EQ138" s="130"/>
      <c r="ER138" s="130"/>
      <c r="ES138" s="130"/>
      <c r="ET138" s="130"/>
      <c r="EU138" s="130"/>
      <c r="EV138" s="130"/>
      <c r="EW138" s="130"/>
      <c r="EX138" s="130"/>
      <c r="EY138" s="130"/>
      <c r="EZ138" s="133"/>
      <c r="FA138" s="132"/>
      <c r="FB138" s="132"/>
      <c r="FC138" s="132"/>
      <c r="FD138" s="132"/>
      <c r="FE138" s="132"/>
      <c r="FF138" s="129"/>
      <c r="FG138" s="130"/>
      <c r="FH138" s="130"/>
      <c r="FI138" s="130"/>
      <c r="FJ138" s="129"/>
      <c r="FK138" s="130"/>
      <c r="FL138" s="131"/>
      <c r="FM138" s="129"/>
      <c r="HF138" s="99" t="s">
        <v>149</v>
      </c>
    </row>
    <row r="139" spans="1:221">
      <c r="B139" s="96" t="s">
        <v>579</v>
      </c>
      <c r="C139" s="95">
        <v>3</v>
      </c>
      <c r="D139" s="95">
        <f t="shared" si="5"/>
        <v>1</v>
      </c>
      <c r="HF139" s="99" t="s">
        <v>149</v>
      </c>
    </row>
    <row r="140" spans="1:221">
      <c r="B140" s="96" t="s">
        <v>580</v>
      </c>
      <c r="C140" s="95">
        <v>0</v>
      </c>
      <c r="D140" s="95">
        <f t="shared" si="5"/>
        <v>2</v>
      </c>
      <c r="HH140" s="97" t="s">
        <v>149</v>
      </c>
      <c r="HI140" s="97" t="s">
        <v>149</v>
      </c>
    </row>
    <row r="141" spans="1:221">
      <c r="A141" s="95" t="s">
        <v>567</v>
      </c>
      <c r="B141" s="96" t="s">
        <v>581</v>
      </c>
      <c r="C141" s="95">
        <v>1</v>
      </c>
      <c r="D141" s="95">
        <f t="shared" si="5"/>
        <v>1</v>
      </c>
      <c r="HM141" s="97" t="s">
        <v>149</v>
      </c>
    </row>
    <row r="142" spans="1:221">
      <c r="A142" s="95" t="s">
        <v>567</v>
      </c>
      <c r="B142" s="96" t="s">
        <v>582</v>
      </c>
      <c r="C142" s="95">
        <v>1</v>
      </c>
      <c r="D142" s="95">
        <f t="shared" si="5"/>
        <v>1</v>
      </c>
      <c r="HM142" s="97" t="s">
        <v>149</v>
      </c>
    </row>
    <row r="143" spans="1:221">
      <c r="A143" s="95" t="s">
        <v>304</v>
      </c>
      <c r="B143" s="96" t="s">
        <v>604</v>
      </c>
      <c r="C143" s="95">
        <v>1</v>
      </c>
      <c r="D143" s="95">
        <f t="shared" si="5"/>
        <v>1</v>
      </c>
      <c r="GY143" s="97" t="s">
        <v>149</v>
      </c>
    </row>
  </sheetData>
  <sortState ref="A13:GM84">
    <sortCondition ref="A13:A84"/>
    <sortCondition ref="B13:B84"/>
    <sortCondition ref="C13:C84"/>
  </sortState>
  <mergeCells count="55">
    <mergeCell ref="JK2:JM2"/>
    <mergeCell ref="HW2:HZ2"/>
    <mergeCell ref="IA2:IB2"/>
    <mergeCell ref="IC2:IE2"/>
    <mergeCell ref="GH2:GK2"/>
    <mergeCell ref="GL2:GN2"/>
    <mergeCell ref="GO2:GQ2"/>
    <mergeCell ref="HN2:HQ2"/>
    <mergeCell ref="GR2:GT2"/>
    <mergeCell ref="IF2:IH2"/>
    <mergeCell ref="JF2:JH2"/>
    <mergeCell ref="GZ2:HE2"/>
    <mergeCell ref="HF2:HM2"/>
    <mergeCell ref="HR2:HU2"/>
    <mergeCell ref="JC2:JE2"/>
    <mergeCell ref="JA2:JB2"/>
    <mergeCell ref="EN2:ET2"/>
    <mergeCell ref="FJ2:FL2"/>
    <mergeCell ref="FM2:FQ2"/>
    <mergeCell ref="IX2:IZ2"/>
    <mergeCell ref="GU2:GY2"/>
    <mergeCell ref="IT2:IV2"/>
    <mergeCell ref="IO2:IS2"/>
    <mergeCell ref="II2:IJ2"/>
    <mergeCell ref="IK2:IL2"/>
    <mergeCell ref="AI2:AO2"/>
    <mergeCell ref="BT2:BX2"/>
    <mergeCell ref="CM2:CO2"/>
    <mergeCell ref="GD2:GG2"/>
    <mergeCell ref="FW2:GC2"/>
    <mergeCell ref="ED2:EI2"/>
    <mergeCell ref="EJ2:EM2"/>
    <mergeCell ref="CU2:CZ2"/>
    <mergeCell ref="DA2:DE2"/>
    <mergeCell ref="DF2:DK2"/>
    <mergeCell ref="DL2:DQ2"/>
    <mergeCell ref="DR2:DW2"/>
    <mergeCell ref="DX2:EC2"/>
    <mergeCell ref="FR2:FV2"/>
    <mergeCell ref="EZ2:FE2"/>
    <mergeCell ref="FF2:FI2"/>
    <mergeCell ref="E2:K2"/>
    <mergeCell ref="L2:O2"/>
    <mergeCell ref="P2:U2"/>
    <mergeCell ref="V2:AB2"/>
    <mergeCell ref="AC2:AH2"/>
    <mergeCell ref="CJ2:CL2"/>
    <mergeCell ref="CP2:CT2"/>
    <mergeCell ref="AP2:AS2"/>
    <mergeCell ref="AT2:AY2"/>
    <mergeCell ref="AZ2:BF2"/>
    <mergeCell ref="BG2:BK2"/>
    <mergeCell ref="BL2:BS2"/>
    <mergeCell ref="BY2:CD2"/>
    <mergeCell ref="CE2:CI2"/>
  </mergeCells>
  <phoneticPr fontId="2" type="noConversion"/>
  <pageMargins left="0.16" right="0.16" top="0.21" bottom="0.21" header="0.1" footer="0.1"/>
  <pageSetup paperSize="8" scale="17" fitToHeight="2" orientation="landscape" horizontalDpi="4294967292" verticalDpi="4294967292"/>
  <extLst>
    <ext xmlns:mx="http://schemas.microsoft.com/office/mac/excel/2008/main" uri="{64002731-A6B0-56B0-2670-7721B7C09600}">
      <mx:PLV Mode="0" OnePage="0" WScale="5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2"/>
  <sheetViews>
    <sheetView workbookViewId="0">
      <selection activeCell="B2" sqref="B2"/>
    </sheetView>
  </sheetViews>
  <sheetFormatPr baseColWidth="10" defaultRowHeight="13" x14ac:dyDescent="0"/>
  <cols>
    <col min="1" max="1" width="31.140625" bestFit="1" customWidth="1"/>
  </cols>
  <sheetData>
    <row r="2" spans="1:2">
      <c r="A2" t="s">
        <v>603</v>
      </c>
      <c r="B2" t="s">
        <v>596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68"/>
  <sheetViews>
    <sheetView workbookViewId="0">
      <pane xSplit="3" ySplit="4" topLeftCell="D5" activePane="bottomRight" state="frozenSplit"/>
      <selection pane="topRight" activeCell="D1" sqref="D1"/>
      <selection pane="bottomLeft" activeCell="A6" sqref="A6"/>
      <selection pane="bottomRight" activeCell="G53" sqref="G53"/>
    </sheetView>
  </sheetViews>
  <sheetFormatPr baseColWidth="10" defaultColWidth="11" defaultRowHeight="13" x14ac:dyDescent="0"/>
  <cols>
    <col min="2" max="2" width="20" bestFit="1" customWidth="1"/>
    <col min="3" max="3" width="16.5703125" customWidth="1"/>
    <col min="4" max="4" width="3" bestFit="1" customWidth="1"/>
    <col min="5" max="5" width="4.7109375" bestFit="1" customWidth="1"/>
    <col min="6" max="6" width="11.140625" customWidth="1"/>
    <col min="7" max="7" width="14.42578125" bestFit="1" customWidth="1"/>
    <col min="8" max="10" width="11.140625" customWidth="1"/>
  </cols>
  <sheetData>
    <row r="1" spans="1:10" ht="18">
      <c r="D1" s="87" t="s">
        <v>310</v>
      </c>
      <c r="E1" s="88"/>
      <c r="F1" s="88"/>
      <c r="G1" s="88"/>
      <c r="H1" s="88"/>
      <c r="I1" s="88"/>
      <c r="J1" s="89"/>
    </row>
    <row r="2" spans="1:10">
      <c r="C2" s="9" t="s">
        <v>314</v>
      </c>
      <c r="D2" s="3">
        <f>COUNTIF(D6:D68,"Y")</f>
        <v>10</v>
      </c>
      <c r="E2" s="1"/>
      <c r="F2" s="1"/>
      <c r="G2" s="1"/>
      <c r="H2" s="1"/>
      <c r="I2" s="1"/>
      <c r="J2" s="2"/>
    </row>
    <row r="3" spans="1:10">
      <c r="B3" s="9"/>
      <c r="C3" s="9"/>
      <c r="D3" s="4"/>
      <c r="E3" s="5" t="s">
        <v>315</v>
      </c>
      <c r="F3" s="85" t="s">
        <v>316</v>
      </c>
      <c r="G3" s="85"/>
      <c r="H3" s="85"/>
      <c r="I3" s="85"/>
      <c r="J3" s="86"/>
    </row>
    <row r="4" spans="1:10">
      <c r="A4" t="s">
        <v>317</v>
      </c>
      <c r="B4" t="s">
        <v>318</v>
      </c>
      <c r="C4" t="s">
        <v>319</v>
      </c>
      <c r="D4" s="4"/>
      <c r="E4" s="5"/>
      <c r="F4" s="15" t="s">
        <v>320</v>
      </c>
      <c r="G4" s="15" t="s">
        <v>583</v>
      </c>
      <c r="H4" s="15" t="s">
        <v>234</v>
      </c>
      <c r="I4" s="15" t="s">
        <v>321</v>
      </c>
      <c r="J4" s="16" t="s">
        <v>322</v>
      </c>
    </row>
    <row r="5" spans="1:10">
      <c r="A5" t="s">
        <v>419</v>
      </c>
      <c r="D5" s="4"/>
      <c r="E5" s="5"/>
      <c r="F5" s="79"/>
      <c r="G5" s="81"/>
      <c r="H5" s="79"/>
      <c r="I5" s="79"/>
      <c r="J5" s="80"/>
    </row>
    <row r="6" spans="1:10">
      <c r="A6" t="s">
        <v>159</v>
      </c>
      <c r="B6" s="51" t="s">
        <v>325</v>
      </c>
      <c r="C6" s="62" t="s">
        <v>325</v>
      </c>
      <c r="D6" s="52" t="str">
        <f t="array" ref="D6">IF(OR(ISNUMBER(SEARCH(","&amp;$A6&amp;",",","&amp;WnSAssignmentMoveShip&amp;","))),"Y","-")</f>
        <v>Y</v>
      </c>
      <c r="E6" s="53">
        <f t="array" ref="E6">IF(D6="Y",MAX(IF(WnSAssignmentMoveShip=A6,TaskRankRequirements)),"")</f>
        <v>0</v>
      </c>
      <c r="F6" s="54" t="s">
        <v>326</v>
      </c>
      <c r="G6" s="54" t="s">
        <v>586</v>
      </c>
      <c r="H6" s="54" t="s">
        <v>327</v>
      </c>
      <c r="I6" s="54"/>
      <c r="J6" s="55"/>
    </row>
    <row r="7" spans="1:10">
      <c r="A7" t="s">
        <v>152</v>
      </c>
      <c r="B7" s="35" t="s">
        <v>329</v>
      </c>
      <c r="C7" s="63" t="s">
        <v>329</v>
      </c>
      <c r="D7" s="19" t="str">
        <f t="array" ref="D7">IF(OR(ISNUMBER(SEARCH(","&amp;$A7&amp;",",","&amp;WnSAssignmentMoveShip&amp;","))),"Y","-")</f>
        <v>Y</v>
      </c>
      <c r="E7" s="20">
        <f t="array" ref="E7">IF(D7="Y",MAX(IF(ISNUMBER(SEARCH(CONCATENATE(",",$A7,","),CONCATENATE(",",WnSAssignmentMoveShip,","))),TaskRankRequirements)),"")</f>
        <v>5</v>
      </c>
      <c r="F7" s="21" t="s">
        <v>330</v>
      </c>
      <c r="G7" s="21" t="s">
        <v>592</v>
      </c>
      <c r="H7" s="21" t="s">
        <v>331</v>
      </c>
      <c r="I7" s="21"/>
      <c r="J7" s="22"/>
    </row>
    <row r="8" spans="1:10">
      <c r="A8" s="10" t="s">
        <v>333</v>
      </c>
      <c r="B8" s="36"/>
      <c r="C8" s="50" t="s">
        <v>334</v>
      </c>
      <c r="D8" s="4" t="str">
        <f t="array" ref="D8">IF(OR(ISNUMBER(SEARCH(","&amp;$A8&amp;",",","&amp;WnSAssignmentMoveShip&amp;","))),"Y","-")</f>
        <v>-</v>
      </c>
      <c r="E8" s="5" t="str">
        <f t="array" ref="E8">IF(D8="Y",MAX(IF(ISNUMBER(SEARCH(CONCATENATE(",",$A8,","),CONCATENATE(",",WnSAssignmentMoveShip,","))),TaskRankRequirements)),"")</f>
        <v/>
      </c>
      <c r="F8" s="1"/>
      <c r="G8" s="1"/>
      <c r="H8" s="1"/>
      <c r="I8" s="1"/>
      <c r="J8" s="2"/>
    </row>
    <row r="9" spans="1:10">
      <c r="A9" s="10" t="s">
        <v>333</v>
      </c>
      <c r="B9" s="37"/>
      <c r="C9" s="48" t="s">
        <v>335</v>
      </c>
      <c r="D9" s="4" t="str">
        <f t="array" ref="D9">IF(OR(ISNUMBER(SEARCH(","&amp;$A9&amp;",",","&amp;WnSAssignmentMoveShip&amp;","))),"Y","-")</f>
        <v>-</v>
      </c>
      <c r="E9" s="5" t="str">
        <f t="array" ref="E9">IF(D9="Y",MAX(IF(ISNUMBER(SEARCH(CONCATENATE(",",$A9,","),CONCATENATE(",",WnSAssignmentMoveShip,","))),TaskRankRequirements)),"")</f>
        <v/>
      </c>
      <c r="F9" s="1"/>
      <c r="G9" s="1"/>
      <c r="H9" s="1"/>
      <c r="I9" s="1"/>
      <c r="J9" s="2"/>
    </row>
    <row r="10" spans="1:10">
      <c r="A10" s="10" t="s">
        <v>333</v>
      </c>
      <c r="B10" s="38"/>
      <c r="C10" s="64" t="s">
        <v>336</v>
      </c>
      <c r="D10" s="4" t="str">
        <f t="array" ref="D10">IF(OR(ISNUMBER(SEARCH(","&amp;$A10&amp;",",","&amp;WnSAssignmentMoveShip&amp;","))),"Y","-")</f>
        <v>-</v>
      </c>
      <c r="E10" s="5" t="str">
        <f t="array" ref="E10">IF(D10="Y",MAX(IF(ISNUMBER(SEARCH(CONCATENATE(",",$A10,","),CONCATENATE(",",WnSAssignmentMoveShip,","))),TaskRankRequirements)),"")</f>
        <v/>
      </c>
      <c r="F10" s="1"/>
      <c r="G10" s="1"/>
      <c r="H10" s="1"/>
      <c r="I10" s="1"/>
      <c r="J10" s="2"/>
    </row>
    <row r="11" spans="1:10">
      <c r="A11" s="75" t="s">
        <v>420</v>
      </c>
      <c r="B11" s="76"/>
      <c r="C11" s="77"/>
      <c r="D11" s="11" t="str">
        <f t="array" ref="D11">IF(OR(ISNUMBER(SEARCH(","&amp;$A11&amp;",",","&amp;WnSAssignmentMoveShip&amp;","))),"Y","-")</f>
        <v>-</v>
      </c>
      <c r="E11" s="12" t="str">
        <f t="array" ref="E11">IF(D11="Y",MAX(IF(ISNUMBER(SEARCH(CONCATENATE(",",$A11,","),CONCATENATE(",",WnSAssignmentMoveShip,","))),TaskRankRequirements)),"")</f>
        <v/>
      </c>
      <c r="F11" s="13"/>
      <c r="G11" s="13"/>
      <c r="H11" s="13"/>
      <c r="I11" s="13"/>
      <c r="J11" s="14"/>
    </row>
    <row r="12" spans="1:10">
      <c r="A12" t="s">
        <v>154</v>
      </c>
      <c r="B12" s="34" t="s">
        <v>44</v>
      </c>
      <c r="C12" s="65" t="s">
        <v>44</v>
      </c>
      <c r="D12" s="19" t="str">
        <f t="array" ref="D12">IF(OR(ISNUMBER(SEARCH(","&amp;$A12&amp;",",","&amp;WnSAssignmentMoveShip&amp;","))),"Y","-")</f>
        <v>Y</v>
      </c>
      <c r="E12" s="20">
        <f t="array" ref="E12">IF(D12="Y",MAX(IF(ISNUMBER(SEARCH(CONCATENATE(",",$A12,","),CONCATENATE(",",WnSAssignmentMoveShip,","))),TaskRankRequirements)),"")</f>
        <v>4</v>
      </c>
      <c r="F12" s="21" t="s">
        <v>241</v>
      </c>
      <c r="G12" s="21"/>
      <c r="H12" s="21" t="s">
        <v>339</v>
      </c>
      <c r="I12" s="21" t="s">
        <v>339</v>
      </c>
      <c r="J12" s="22" t="s">
        <v>339</v>
      </c>
    </row>
    <row r="13" spans="1:10">
      <c r="A13" t="s">
        <v>156</v>
      </c>
      <c r="B13" s="34" t="s">
        <v>341</v>
      </c>
      <c r="C13" s="65" t="s">
        <v>342</v>
      </c>
      <c r="D13" s="19" t="str">
        <f t="array" ref="D13">IF(OR(ISNUMBER(SEARCH(","&amp;$A13&amp;",",","&amp;WnSAssignmentMoveShip&amp;","))),"Y","-")</f>
        <v>Y</v>
      </c>
      <c r="E13" s="20">
        <f t="array" ref="E13">IF(D13="Y",MAX(IF(ISNUMBER(SEARCH(CONCATENATE(",",$A13,","),CONCATENATE(",",WnSAssignmentMoveShip,","))),TaskRankRequirements)),"")</f>
        <v>4</v>
      </c>
      <c r="F13" s="21" t="s">
        <v>343</v>
      </c>
      <c r="G13" s="21"/>
      <c r="H13" s="21" t="s">
        <v>344</v>
      </c>
      <c r="I13" s="21"/>
      <c r="J13" s="22"/>
    </row>
    <row r="14" spans="1:10">
      <c r="A14" t="s">
        <v>333</v>
      </c>
      <c r="B14" s="39"/>
      <c r="C14" s="66" t="s">
        <v>350</v>
      </c>
      <c r="D14" s="4" t="str">
        <f t="array" ref="D14">IF(OR(ISNUMBER(SEARCH(","&amp;$A14&amp;",",","&amp;WnSAssignmentMoveShip&amp;","))),"Y","-")</f>
        <v>-</v>
      </c>
      <c r="E14" s="5" t="str">
        <f t="array" ref="E14">IF(D14="Y",MAX(IF(ISNUMBER(SEARCH(CONCATENATE(",",$A14,","),CONCATENATE(",",WnSAssignmentMoveShip,","))),TaskRankRequirements)),"")</f>
        <v/>
      </c>
      <c r="F14" s="1"/>
      <c r="G14" s="1"/>
      <c r="H14" s="1"/>
      <c r="I14" s="1"/>
      <c r="J14" s="2"/>
    </row>
    <row r="15" spans="1:10">
      <c r="A15" t="s">
        <v>333</v>
      </c>
      <c r="B15" s="40"/>
      <c r="C15" s="46" t="s">
        <v>352</v>
      </c>
      <c r="D15" s="4" t="str">
        <f t="array" ref="D15">IF(OR(ISNUMBER(SEARCH(","&amp;$A15&amp;",",","&amp;WnSAssignmentMoveShip&amp;","))),"Y","-")</f>
        <v>-</v>
      </c>
      <c r="E15" s="5" t="str">
        <f t="array" ref="E15">IF(D15="Y",MAX(IF(ISNUMBER(SEARCH(CONCATENATE(",",$A15,","),CONCATENATE(",",WnSAssignmentMoveShip,","))),TaskRankRequirements)),"")</f>
        <v/>
      </c>
      <c r="F15" s="1"/>
      <c r="G15" s="1"/>
      <c r="H15" s="1"/>
      <c r="I15" s="1"/>
      <c r="J15" s="2"/>
    </row>
    <row r="16" spans="1:10">
      <c r="A16" t="s">
        <v>151</v>
      </c>
      <c r="B16" s="34" t="s">
        <v>354</v>
      </c>
      <c r="C16" s="65" t="s">
        <v>355</v>
      </c>
      <c r="D16" s="19" t="str">
        <f t="array" ref="D16">IF(OR(ISNUMBER(SEARCH(","&amp;$A16&amp;",",","&amp;WnSAssignmentMoveShip&amp;","))),"Y","-")</f>
        <v>Y</v>
      </c>
      <c r="E16" s="20">
        <f t="array" ref="E16">IF(D16="Y",MAX(IF(ISNUMBER(SEARCH(CONCATENATE(",",$A16,","),CONCATENATE(",",WnSAssignmentMoveShip,","))),TaskRankRequirements)),"")</f>
        <v>1</v>
      </c>
      <c r="F16" s="21" t="s">
        <v>356</v>
      </c>
      <c r="G16" s="21" t="s">
        <v>356</v>
      </c>
      <c r="H16" s="21" t="s">
        <v>356</v>
      </c>
      <c r="I16" s="21" t="s">
        <v>356</v>
      </c>
      <c r="J16" s="22" t="s">
        <v>356</v>
      </c>
    </row>
    <row r="17" spans="1:10">
      <c r="A17" t="s">
        <v>333</v>
      </c>
      <c r="B17" s="39"/>
      <c r="C17" s="66" t="s">
        <v>360</v>
      </c>
      <c r="D17" s="4" t="str">
        <f t="array" ref="D17">IF(OR(ISNUMBER(SEARCH(","&amp;$A17&amp;",",","&amp;WnSAssignmentMoveShip&amp;","))),"Y","-")</f>
        <v>-</v>
      </c>
      <c r="E17" s="5" t="str">
        <f t="array" ref="E17">IF(D17="Y",MAX(IF(ISNUMBER(SEARCH(CONCATENATE(",",$A17,","),CONCATENATE(",",WnSAssignmentMoveShip,","))),TaskRankRequirements)),"")</f>
        <v/>
      </c>
      <c r="F17" s="1"/>
      <c r="G17" s="1"/>
      <c r="H17" s="1"/>
      <c r="I17" s="1"/>
      <c r="J17" s="2"/>
    </row>
    <row r="18" spans="1:10">
      <c r="A18" t="s">
        <v>333</v>
      </c>
      <c r="B18" s="40"/>
      <c r="C18" s="46"/>
      <c r="D18" s="4" t="str">
        <f t="array" ref="D18">IF(OR(ISNUMBER(SEARCH(","&amp;$A18&amp;",",","&amp;WnSAssignmentMoveShip&amp;","))),"Y","-")</f>
        <v>-</v>
      </c>
      <c r="E18" s="5" t="str">
        <f t="array" ref="E18">IF(D18="Y",MAX(IF(ISNUMBER(SEARCH(CONCATENATE(",",$A18,","),CONCATENATE(",",WnSAssignmentMoveShip,","))),TaskRankRequirements)),"")</f>
        <v/>
      </c>
      <c r="F18" s="1"/>
      <c r="G18" s="1"/>
      <c r="H18" s="1"/>
      <c r="I18" s="1"/>
      <c r="J18" s="2"/>
    </row>
    <row r="19" spans="1:10">
      <c r="A19" t="s">
        <v>333</v>
      </c>
      <c r="B19" s="40"/>
      <c r="C19" s="46"/>
      <c r="D19" s="4" t="str">
        <f t="array" ref="D19">IF(OR(ISNUMBER(SEARCH(","&amp;$A19&amp;",",","&amp;WnSAssignmentMoveShip&amp;","))),"Y","-")</f>
        <v>-</v>
      </c>
      <c r="E19" s="5" t="str">
        <f t="array" ref="E19">IF(D19="Y",MAX(IF(ISNUMBER(SEARCH(CONCATENATE(",",$A19,","),CONCATENATE(",",WnSAssignmentMoveShip,","))),TaskRankRequirements)),"")</f>
        <v/>
      </c>
      <c r="F19" s="1"/>
      <c r="G19" s="1"/>
      <c r="H19" s="1"/>
      <c r="I19" s="1"/>
      <c r="J19" s="2"/>
    </row>
    <row r="20" spans="1:10">
      <c r="A20" t="s">
        <v>333</v>
      </c>
      <c r="B20" s="39"/>
      <c r="C20" s="66" t="s">
        <v>365</v>
      </c>
      <c r="D20" s="4" t="str">
        <f t="array" ref="D20">IF(OR(ISNUMBER(SEARCH(","&amp;$A20&amp;",",","&amp;WnSAssignmentMoveShip&amp;","))),"Y","-")</f>
        <v>-</v>
      </c>
      <c r="E20" s="5" t="str">
        <f t="array" ref="E20">IF(D20="Y",MAX(IF(ISNUMBER(SEARCH(CONCATENATE(",",$A20,","),CONCATENATE(",",WnSAssignmentMoveShip,","))),TaskRankRequirements)),"")</f>
        <v/>
      </c>
      <c r="F20" s="1"/>
      <c r="G20" s="1"/>
      <c r="H20" s="1"/>
      <c r="I20" s="1"/>
      <c r="J20" s="2"/>
    </row>
    <row r="21" spans="1:10">
      <c r="A21" t="s">
        <v>333</v>
      </c>
      <c r="B21" s="39"/>
      <c r="C21" s="66"/>
      <c r="D21" s="4" t="str">
        <f t="array" ref="D21">IF(OR(ISNUMBER(SEARCH(","&amp;$A21&amp;",",","&amp;WnSAssignmentMoveShip&amp;","))),"Y","-")</f>
        <v>-</v>
      </c>
      <c r="E21" s="5" t="str">
        <f t="array" ref="E21">IF(D21="Y",MAX(IF(ISNUMBER(SEARCH(CONCATENATE(",",$A21,","),CONCATENATE(",",WnSAssignmentMoveShip,","))),TaskRankRequirements)),"")</f>
        <v/>
      </c>
      <c r="F21" s="1"/>
      <c r="G21" s="1"/>
      <c r="H21" s="1"/>
      <c r="I21" s="1"/>
      <c r="J21" s="2"/>
    </row>
    <row r="22" spans="1:10">
      <c r="A22" t="s">
        <v>333</v>
      </c>
      <c r="B22" s="39"/>
      <c r="C22" s="66"/>
      <c r="D22" s="4" t="str">
        <f t="array" ref="D22">IF(OR(ISNUMBER(SEARCH(","&amp;$A22&amp;",",","&amp;WnSAssignmentMoveShip&amp;","))),"Y","-")</f>
        <v>-</v>
      </c>
      <c r="E22" s="5" t="str">
        <f t="array" ref="E22">IF(D22="Y",MAX(IF(ISNUMBER(SEARCH(CONCATENATE(",",$A22,","),CONCATENATE(",",WnSAssignmentMoveShip,","))),TaskRankRequirements)),"")</f>
        <v/>
      </c>
      <c r="F22" s="1"/>
      <c r="G22" s="1"/>
      <c r="H22" s="1"/>
      <c r="I22" s="1"/>
      <c r="J22" s="2"/>
    </row>
    <row r="23" spans="1:10">
      <c r="A23" t="s">
        <v>333</v>
      </c>
      <c r="B23" s="40"/>
      <c r="C23" s="46"/>
      <c r="D23" s="4" t="str">
        <f t="array" ref="D23">IF(OR(ISNUMBER(SEARCH(","&amp;$A23&amp;",",","&amp;WnSAssignmentMoveShip&amp;","))),"Y","-")</f>
        <v>-</v>
      </c>
      <c r="E23" s="5" t="str">
        <f t="array" ref="E23">IF(D23="Y",MAX(IF(ISNUMBER(SEARCH(CONCATENATE(",",$A23,","),CONCATENATE(",",WnSAssignmentMoveShip,","))),TaskRankRequirements)),"")</f>
        <v/>
      </c>
      <c r="F23" s="1"/>
      <c r="G23" s="1"/>
      <c r="H23" s="1"/>
      <c r="I23" s="1"/>
      <c r="J23" s="2"/>
    </row>
    <row r="24" spans="1:10">
      <c r="A24" t="s">
        <v>333</v>
      </c>
      <c r="B24" s="40"/>
      <c r="C24" s="46"/>
      <c r="D24" s="4" t="str">
        <f t="array" ref="D24">IF(OR(ISNUMBER(SEARCH(","&amp;$A24&amp;",",","&amp;WnSAssignmentMoveShip&amp;","))),"Y","-")</f>
        <v>-</v>
      </c>
      <c r="E24" s="5" t="str">
        <f t="array" ref="E24">IF(D24="Y",MAX(IF(ISNUMBER(SEARCH(CONCATENATE(",",$A24,","),CONCATENATE(",",WnSAssignmentMoveShip,","))),TaskRankRequirements)),"")</f>
        <v/>
      </c>
      <c r="F24" s="1"/>
      <c r="G24" s="1"/>
      <c r="H24" s="1"/>
      <c r="I24" s="1"/>
      <c r="J24" s="2"/>
    </row>
    <row r="25" spans="1:10">
      <c r="A25" t="s">
        <v>333</v>
      </c>
      <c r="B25" s="41"/>
      <c r="C25" s="47"/>
      <c r="D25" s="4" t="str">
        <f t="array" ref="D25">IF(OR(ISNUMBER(SEARCH(","&amp;$A25&amp;",",","&amp;WnSAssignmentMoveShip&amp;","))),"Y","-")</f>
        <v>-</v>
      </c>
      <c r="E25" s="5" t="str">
        <f t="array" ref="E25">IF(D25="Y",MAX(IF(ISNUMBER(SEARCH(CONCATENATE(",",$A25,","),CONCATENATE(",",WnSAssignmentMoveShip,","))),TaskRankRequirements)),"")</f>
        <v/>
      </c>
      <c r="F25" s="1"/>
      <c r="G25" s="1"/>
      <c r="H25" s="1"/>
      <c r="I25" s="1"/>
      <c r="J25" s="2"/>
    </row>
    <row r="26" spans="1:10">
      <c r="A26" t="s">
        <v>333</v>
      </c>
      <c r="B26" s="41"/>
      <c r="C26" s="47"/>
      <c r="D26" s="4" t="str">
        <f t="array" ref="D26">IF(OR(ISNUMBER(SEARCH(","&amp;$A26&amp;",",","&amp;WnSAssignmentMoveShip&amp;","))),"Y","-")</f>
        <v>-</v>
      </c>
      <c r="E26" s="5" t="str">
        <f t="array" ref="E26">IF(D26="Y",MAX(IF(ISNUMBER(SEARCH(CONCATENATE(",",$A26,","),CONCATENATE(",",WnSAssignmentMoveShip,","))),TaskRankRequirements)),"")</f>
        <v/>
      </c>
      <c r="F26" s="1"/>
      <c r="G26" s="1"/>
      <c r="H26" s="1"/>
      <c r="I26" s="1"/>
      <c r="J26" s="2"/>
    </row>
    <row r="27" spans="1:10">
      <c r="A27" t="s">
        <v>155</v>
      </c>
      <c r="B27" s="34" t="s">
        <v>371</v>
      </c>
      <c r="C27" s="65"/>
      <c r="D27" s="19" t="str">
        <f t="array" ref="D27">IF(OR(ISNUMBER(SEARCH(","&amp;$A27&amp;",",","&amp;WnSAssignmentMoveShip&amp;","))),"Y","-")</f>
        <v>Y</v>
      </c>
      <c r="E27" s="20">
        <f t="array" ref="E27">IF(D27="Y",MAX(IF(ISNUMBER(SEARCH(CONCATENATE(",",$A27,","),CONCATENATE(",",WnSAssignmentMoveShip,","))),TaskRankRequirements)),"")</f>
        <v>3</v>
      </c>
      <c r="F27" s="21" t="s">
        <v>372</v>
      </c>
      <c r="G27" s="21" t="s">
        <v>392</v>
      </c>
      <c r="H27" s="21" t="s">
        <v>373</v>
      </c>
      <c r="I27" s="21"/>
      <c r="J27" s="22"/>
    </row>
    <row r="28" spans="1:10">
      <c r="A28" t="s">
        <v>158</v>
      </c>
      <c r="B28" s="34" t="s">
        <v>371</v>
      </c>
      <c r="C28" s="65"/>
      <c r="D28" s="19" t="str">
        <f t="array" ref="D28">IF(OR(ISNUMBER(SEARCH(","&amp;$A28&amp;",",","&amp;WnSAssignmentMoveShip&amp;","))),"Y","-")</f>
        <v>Y</v>
      </c>
      <c r="E28" s="20">
        <f t="array" ref="E28">IF(D28="Y",MAX(IF(ISNUMBER(SEARCH(CONCATENATE(",",$A28,","),CONCATENATE(",",WnSAssignmentMoveShip,","))),TaskRankRequirements)),"")</f>
        <v>3</v>
      </c>
      <c r="F28" s="21" t="s">
        <v>372</v>
      </c>
      <c r="G28" s="21"/>
      <c r="H28" s="21" t="s">
        <v>376</v>
      </c>
      <c r="I28" s="21"/>
      <c r="J28" s="22"/>
    </row>
    <row r="29" spans="1:10">
      <c r="A29" t="s">
        <v>421</v>
      </c>
      <c r="B29" s="34" t="s">
        <v>371</v>
      </c>
      <c r="C29" s="65"/>
      <c r="D29" s="19" t="str">
        <f t="array" ref="D29">IF(OR(ISNUMBER(SEARCH(","&amp;$A29&amp;",",","&amp;WnSAssignmentMoveShip&amp;","))),"Y","-")</f>
        <v>Y</v>
      </c>
      <c r="E29" s="20">
        <f t="array" ref="E29">IF(D29="Y",MAX(IF(ISNUMBER(SEARCH(CONCATENATE(",",$A29,","),CONCATENATE(",",WnSAssignmentMoveShip,","))),TaskRankRequirements)),"")</f>
        <v>3</v>
      </c>
      <c r="F29" s="21" t="s">
        <v>378</v>
      </c>
      <c r="G29" s="21"/>
      <c r="H29" s="21" t="s">
        <v>379</v>
      </c>
      <c r="I29" s="21"/>
      <c r="J29" s="22"/>
    </row>
    <row r="30" spans="1:10">
      <c r="A30" t="s">
        <v>422</v>
      </c>
      <c r="B30" s="34" t="s">
        <v>371</v>
      </c>
      <c r="C30" s="65"/>
      <c r="D30" s="19" t="str">
        <f t="array" ref="D30">IF(OR(ISNUMBER(SEARCH(","&amp;$A30&amp;",",","&amp;WnSAssignmentMoveShip&amp;","))),"Y","-")</f>
        <v>Y</v>
      </c>
      <c r="E30" s="20">
        <f t="array" ref="E30">IF(D30="Y",MAX(IF(ISNUMBER(SEARCH(CONCATENATE(",",$A30,","),CONCATENATE(",",WnSAssignmentMoveShip,","))),TaskRankRequirements)),"")</f>
        <v>3</v>
      </c>
      <c r="F30" s="21" t="s">
        <v>378</v>
      </c>
      <c r="G30" s="21"/>
      <c r="H30" s="21" t="s">
        <v>381</v>
      </c>
      <c r="I30" s="21"/>
      <c r="J30" s="22"/>
    </row>
    <row r="31" spans="1:10">
      <c r="A31" t="s">
        <v>333</v>
      </c>
      <c r="B31" s="42"/>
      <c r="C31" s="67" t="s">
        <v>384</v>
      </c>
      <c r="D31" s="4" t="str">
        <f t="array" ref="D31">IF(OR(ISNUMBER(SEARCH(","&amp;$A31&amp;",",","&amp;WnSAssignmentMoveShip&amp;","))),"Y","-")</f>
        <v>-</v>
      </c>
      <c r="E31" s="5" t="str">
        <f t="array" ref="E31">IF(D31="Y",MAX(IF(ISNUMBER(SEARCH(CONCATENATE(",",$A31,","),CONCATENATE(",",WnSAssignmentMoveShip,","))),TaskRankRequirements)),"")</f>
        <v/>
      </c>
      <c r="F31" s="1"/>
      <c r="G31" s="1"/>
      <c r="H31" s="1"/>
      <c r="I31" s="1"/>
      <c r="J31" s="2"/>
    </row>
    <row r="32" spans="1:10">
      <c r="A32" t="s">
        <v>333</v>
      </c>
      <c r="B32" s="42"/>
      <c r="C32" s="67" t="s">
        <v>386</v>
      </c>
      <c r="D32" s="4" t="str">
        <f t="array" ref="D32">IF(OR(ISNUMBER(SEARCH(","&amp;$A32&amp;",",","&amp;WnSAssignmentMoveShip&amp;","))),"Y","-")</f>
        <v>-</v>
      </c>
      <c r="E32" s="5" t="str">
        <f t="array" ref="E32">IF(D32="Y",MAX(IF(ISNUMBER(SEARCH(CONCATENATE(",",$A32,","),CONCATENATE(",",WnSAssignmentMoveShip,","))),TaskRankRequirements)),"")</f>
        <v/>
      </c>
      <c r="F32" s="1"/>
      <c r="G32" s="1"/>
      <c r="H32" s="1"/>
      <c r="I32" s="1"/>
      <c r="J32" s="2"/>
    </row>
    <row r="33" spans="1:10">
      <c r="A33" t="s">
        <v>333</v>
      </c>
      <c r="B33" s="42"/>
      <c r="C33" s="67"/>
      <c r="D33" s="4" t="str">
        <f t="array" ref="D33">IF(OR(ISNUMBER(SEARCH(","&amp;$A33&amp;",",","&amp;WnSAssignmentMoveShip&amp;","))),"Y","-")</f>
        <v>-</v>
      </c>
      <c r="E33" s="5" t="str">
        <f t="array" ref="E33">IF(D33="Y",MAX(IF(ISNUMBER(SEARCH(CONCATENATE(",",$A33,","),CONCATENATE(",",WnSAssignmentMoveShip,","))),TaskRankRequirements)),"")</f>
        <v/>
      </c>
      <c r="F33" s="1"/>
      <c r="G33" s="1"/>
      <c r="H33" s="1"/>
      <c r="I33" s="1"/>
      <c r="J33" s="2"/>
    </row>
    <row r="34" spans="1:10">
      <c r="A34" t="s">
        <v>333</v>
      </c>
      <c r="B34" s="42"/>
      <c r="C34" s="67"/>
      <c r="D34" s="4" t="str">
        <f t="array" ref="D34">IF(OR(ISNUMBER(SEARCH(","&amp;$A34&amp;",",","&amp;WnSAssignmentMoveShip&amp;","))),"Y","-")</f>
        <v>-</v>
      </c>
      <c r="E34" s="5" t="str">
        <f t="array" ref="E34">IF(D34="Y",MAX(IF(ISNUMBER(SEARCH(CONCATENATE(",",$A34,","),CONCATENATE(",",WnSAssignmentMoveShip,","))),TaskRankRequirements)),"")</f>
        <v/>
      </c>
      <c r="F34" s="1"/>
      <c r="G34" s="1"/>
      <c r="H34" s="1"/>
      <c r="I34" s="1"/>
      <c r="J34" s="2"/>
    </row>
    <row r="35" spans="1:10">
      <c r="A35" t="s">
        <v>333</v>
      </c>
      <c r="B35" s="42"/>
      <c r="C35" s="67"/>
      <c r="D35" s="4" t="str">
        <f t="array" ref="D35">IF(OR(ISNUMBER(SEARCH(","&amp;$A35&amp;",",","&amp;WnSAssignmentMoveShip&amp;","))),"Y","-")</f>
        <v>-</v>
      </c>
      <c r="E35" s="5" t="str">
        <f t="array" ref="E35">IF(D35="Y",MAX(IF(ISNUMBER(SEARCH(CONCATENATE(",",$A35,","),CONCATENATE(",",WnSAssignmentMoveShip,","))),TaskRankRequirements)),"")</f>
        <v/>
      </c>
      <c r="F35" s="1"/>
      <c r="G35" s="1"/>
      <c r="H35" s="1"/>
      <c r="I35" s="1"/>
      <c r="J35" s="2"/>
    </row>
    <row r="36" spans="1:10">
      <c r="A36" t="s">
        <v>333</v>
      </c>
      <c r="B36" s="42"/>
      <c r="C36" s="67" t="s">
        <v>392</v>
      </c>
      <c r="D36" s="4" t="str">
        <f t="array" ref="D36">IF(OR(ISNUMBER(SEARCH(","&amp;$A36&amp;",",","&amp;WnSAssignmentMoveShip&amp;","))),"Y","-")</f>
        <v>-</v>
      </c>
      <c r="E36" s="5" t="str">
        <f t="array" ref="E36">IF(D36="Y",MAX(IF(ISNUMBER(SEARCH(CONCATENATE(",",$A36,","),CONCATENATE(",",WnSAssignmentMoveShip,","))),TaskRankRequirements)),"")</f>
        <v/>
      </c>
      <c r="F36" s="1"/>
      <c r="G36" s="1"/>
      <c r="H36" s="1"/>
      <c r="I36" s="1"/>
      <c r="J36" s="2"/>
    </row>
    <row r="37" spans="1:10">
      <c r="A37" t="s">
        <v>333</v>
      </c>
      <c r="B37" s="39"/>
      <c r="C37" s="66"/>
      <c r="D37" s="4" t="str">
        <f t="array" ref="D37">IF(OR(ISNUMBER(SEARCH(","&amp;$A37&amp;",",","&amp;WnSAssignmentMoveShip&amp;","))),"Y","-")</f>
        <v>-</v>
      </c>
      <c r="E37" s="5" t="str">
        <f t="array" ref="E37">IF(D37="Y",MAX(IF(ISNUMBER(SEARCH(CONCATENATE(",",$A37,","),CONCATENATE(",",WnSAssignmentMoveShip,","))),TaskRankRequirements)),"")</f>
        <v/>
      </c>
      <c r="F37" s="1"/>
      <c r="G37" s="1"/>
      <c r="H37" s="1"/>
      <c r="I37" s="1"/>
      <c r="J37" s="2"/>
    </row>
    <row r="38" spans="1:10">
      <c r="A38" t="s">
        <v>333</v>
      </c>
      <c r="B38" s="39"/>
      <c r="C38" s="66"/>
      <c r="D38" s="4" t="str">
        <f t="array" ref="D38">IF(OR(ISNUMBER(SEARCH(","&amp;$A38&amp;",",","&amp;WnSAssignmentMoveShip&amp;","))),"Y","-")</f>
        <v>-</v>
      </c>
      <c r="E38" s="5" t="str">
        <f t="array" ref="E38">IF(D38="Y",MAX(IF(ISNUMBER(SEARCH(CONCATENATE(",",$A38,","),CONCATENATE(",",WnSAssignmentMoveShip,","))),TaskRankRequirements)),"")</f>
        <v/>
      </c>
      <c r="F38" s="1"/>
      <c r="G38" s="1"/>
      <c r="H38" s="1"/>
      <c r="I38" s="1"/>
      <c r="J38" s="2"/>
    </row>
    <row r="39" spans="1:10">
      <c r="A39" t="s">
        <v>333</v>
      </c>
      <c r="B39" s="39"/>
      <c r="C39" s="66"/>
      <c r="D39" s="4" t="str">
        <f t="array" ref="D39">IF(OR(ISNUMBER(SEARCH(","&amp;$A39&amp;",",","&amp;WnSAssignmentMoveShip&amp;","))),"Y","-")</f>
        <v>-</v>
      </c>
      <c r="E39" s="5" t="str">
        <f t="array" ref="E39">IF(D39="Y",MAX(IF(ISNUMBER(SEARCH(CONCATENATE(",",$A39,","),CONCATENATE(",",WnSAssignmentMoveShip,","))),TaskRankRequirements)),"")</f>
        <v/>
      </c>
      <c r="F39" s="1"/>
      <c r="G39" s="1"/>
      <c r="H39" s="1"/>
      <c r="I39" s="1"/>
      <c r="J39" s="2"/>
    </row>
    <row r="40" spans="1:10">
      <c r="A40" t="s">
        <v>333</v>
      </c>
      <c r="B40" s="39"/>
      <c r="C40" s="66"/>
      <c r="D40" s="4" t="str">
        <f t="array" ref="D40">IF(OR(ISNUMBER(SEARCH(","&amp;$A40&amp;",",","&amp;WnSAssignmentMoveShip&amp;","))),"Y","-")</f>
        <v>-</v>
      </c>
      <c r="E40" s="5" t="str">
        <f t="array" ref="E40">IF(D40="Y",MAX(IF(ISNUMBER(SEARCH(CONCATENATE(",",$A40,","),CONCATENATE(",",WnSAssignmentMoveShip,","))),TaskRankRequirements)),"")</f>
        <v/>
      </c>
      <c r="F40" s="1"/>
      <c r="G40" s="1"/>
      <c r="H40" s="1"/>
      <c r="I40" s="1"/>
      <c r="J40" s="2"/>
    </row>
    <row r="41" spans="1:10">
      <c r="A41" t="s">
        <v>333</v>
      </c>
      <c r="B41" s="40"/>
      <c r="C41" s="46"/>
      <c r="D41" s="4" t="str">
        <f t="array" ref="D41">IF(OR(ISNUMBER(SEARCH(","&amp;$A41&amp;",",","&amp;WnSAssignmentMoveShip&amp;","))),"Y","-")</f>
        <v>-</v>
      </c>
      <c r="E41" s="5" t="str">
        <f t="array" ref="E41">IF(D41="Y",MAX(IF(ISNUMBER(SEARCH(CONCATENATE(",",$A41,","),CONCATENATE(",",WnSAssignmentMoveShip,","))),TaskRankRequirements)),"")</f>
        <v/>
      </c>
      <c r="F41" s="1"/>
      <c r="G41" s="1"/>
      <c r="H41" s="1"/>
      <c r="I41" s="1"/>
      <c r="J41" s="2"/>
    </row>
    <row r="42" spans="1:10">
      <c r="A42" t="s">
        <v>333</v>
      </c>
      <c r="B42" s="41"/>
      <c r="C42" s="47"/>
      <c r="D42" s="4" t="str">
        <f t="array" ref="D42">IF(OR(ISNUMBER(SEARCH(","&amp;$A42&amp;",",","&amp;WnSAssignmentMoveShip&amp;","))),"Y","-")</f>
        <v>-</v>
      </c>
      <c r="E42" s="5" t="str">
        <f t="array" ref="E42">IF(D42="Y",MAX(IF(ISNUMBER(SEARCH(CONCATENATE(",",$A42,","),CONCATENATE(",",WnSAssignmentMoveShip,","))),TaskRankRequirements)),"")</f>
        <v/>
      </c>
      <c r="F42" s="1"/>
      <c r="G42" s="1"/>
      <c r="H42" s="1"/>
      <c r="I42" s="1"/>
      <c r="J42" s="2"/>
    </row>
    <row r="43" spans="1:10">
      <c r="A43" t="s">
        <v>333</v>
      </c>
      <c r="B43" s="41"/>
      <c r="C43" s="47"/>
      <c r="D43" s="4" t="str">
        <f t="array" ref="D43">IF(OR(ISNUMBER(SEARCH(","&amp;$A43&amp;",",","&amp;WnSAssignmentMoveShip&amp;","))),"Y","-")</f>
        <v>-</v>
      </c>
      <c r="E43" s="5" t="str">
        <f t="array" ref="E43">IF(D43="Y",MAX(IF(ISNUMBER(SEARCH(CONCATENATE(",",$A43,","),CONCATENATE(",",WnSAssignmentMoveShip,","))),TaskRankRequirements)),"")</f>
        <v/>
      </c>
      <c r="F43" s="1"/>
      <c r="G43" s="1"/>
      <c r="H43" s="1"/>
      <c r="I43" s="1"/>
      <c r="J43" s="2"/>
    </row>
    <row r="44" spans="1:10">
      <c r="A44" t="s">
        <v>333</v>
      </c>
      <c r="B44" s="41"/>
      <c r="C44" s="47"/>
      <c r="D44" s="4" t="str">
        <f t="array" ref="D44">IF(OR(ISNUMBER(SEARCH(","&amp;$A44&amp;",",","&amp;WnSAssignmentMoveShip&amp;","))),"Y","-")</f>
        <v>-</v>
      </c>
      <c r="E44" s="5" t="str">
        <f t="array" ref="E44">IF(D44="Y",MAX(IF(ISNUMBER(SEARCH(CONCATENATE(",",$A44,","),CONCATENATE(",",WnSAssignmentMoveShip,","))),TaskRankRequirements)),"")</f>
        <v/>
      </c>
      <c r="F44" s="1"/>
      <c r="G44" s="1"/>
      <c r="H44" s="1"/>
      <c r="I44" s="1"/>
      <c r="J44" s="2"/>
    </row>
    <row r="45" spans="1:10">
      <c r="A45" t="s">
        <v>333</v>
      </c>
      <c r="B45" s="41"/>
      <c r="C45" s="47"/>
      <c r="D45" s="4" t="str">
        <f t="array" ref="D45">IF(OR(ISNUMBER(SEARCH(","&amp;$A45&amp;",",","&amp;WnSAssignmentMoveShip&amp;","))),"Y","-")</f>
        <v>-</v>
      </c>
      <c r="E45" s="5" t="str">
        <f t="array" ref="E45">IF(D45="Y",MAX(IF(ISNUMBER(SEARCH(CONCATENATE(",",$A45,","),CONCATENATE(",",WnSAssignmentMoveShip,","))),TaskRankRequirements)),"")</f>
        <v/>
      </c>
      <c r="F45" s="1"/>
      <c r="G45" s="1"/>
      <c r="H45" s="1"/>
      <c r="I45" s="1"/>
      <c r="J45" s="2"/>
    </row>
    <row r="46" spans="1:10">
      <c r="A46" t="s">
        <v>333</v>
      </c>
      <c r="B46" s="41"/>
      <c r="C46" s="47"/>
      <c r="D46" s="4" t="str">
        <f t="array" ref="D46">IF(OR(ISNUMBER(SEARCH(","&amp;$A46&amp;",",","&amp;WnSAssignmentMoveShip&amp;","))),"Y","-")</f>
        <v>-</v>
      </c>
      <c r="E46" s="5" t="str">
        <f t="array" ref="E46">IF(D46="Y",MAX(IF(ISNUMBER(SEARCH(CONCATENATE(",",$A46,","),CONCATENATE(",",WnSAssignmentMoveShip,","))),TaskRankRequirements)),"")</f>
        <v/>
      </c>
      <c r="F46" s="1"/>
      <c r="G46" s="1"/>
      <c r="H46" s="1"/>
      <c r="I46" s="1"/>
      <c r="J46" s="2"/>
    </row>
    <row r="47" spans="1:10">
      <c r="A47" t="s">
        <v>333</v>
      </c>
      <c r="B47" s="43"/>
      <c r="C47" s="68"/>
      <c r="D47" s="4" t="str">
        <f t="array" ref="D47">IF(OR(ISNUMBER(SEARCH(","&amp;$A47&amp;",",","&amp;WnSAssignmentMoveShip&amp;","))),"Y","-")</f>
        <v>-</v>
      </c>
      <c r="E47" s="5" t="str">
        <f t="array" ref="E47">IF(D47="Y",MAX(IF(ISNUMBER(SEARCH(CONCATENATE(",",$A47,","),CONCATENATE(",",WnSAssignmentMoveShip,","))),TaskRankRequirements)),"")</f>
        <v/>
      </c>
      <c r="F47" s="1"/>
      <c r="G47" s="1"/>
      <c r="H47" s="1"/>
      <c r="I47" s="1"/>
      <c r="J47" s="2"/>
    </row>
    <row r="48" spans="1:10">
      <c r="A48" t="s">
        <v>333</v>
      </c>
      <c r="B48" s="43"/>
      <c r="C48" s="68"/>
      <c r="D48" s="4" t="str">
        <f t="array" ref="D48">IF(OR(ISNUMBER(SEARCH(","&amp;$A48&amp;",",","&amp;WnSAssignmentMoveShip&amp;","))),"Y","-")</f>
        <v>-</v>
      </c>
      <c r="E48" s="5" t="str">
        <f t="array" ref="E48">IF(D48="Y",MAX(IF(ISNUMBER(SEARCH(CONCATENATE(",",$A48,","),CONCATENATE(",",WnSAssignmentMoveShip,","))),TaskRankRequirements)),"")</f>
        <v/>
      </c>
      <c r="F48" s="1"/>
      <c r="G48" s="1"/>
      <c r="H48" s="1"/>
      <c r="I48" s="1"/>
      <c r="J48" s="2"/>
    </row>
    <row r="49" spans="1:10">
      <c r="A49" t="s">
        <v>333</v>
      </c>
      <c r="B49" s="43"/>
      <c r="C49" s="68"/>
      <c r="D49" s="4" t="str">
        <f t="array" ref="D49">IF(OR(ISNUMBER(SEARCH(","&amp;$A49&amp;",",","&amp;WnSAssignmentMoveShip&amp;","))),"Y","-")</f>
        <v>-</v>
      </c>
      <c r="E49" s="5" t="str">
        <f t="array" ref="E49">IF(D49="Y",MAX(IF(ISNUMBER(SEARCH(CONCATENATE(",",$A49,","),CONCATENATE(",",WnSAssignmentMoveShip,","))),TaskRankRequirements)),"")</f>
        <v/>
      </c>
      <c r="F49" s="1"/>
      <c r="G49" s="1"/>
      <c r="H49" s="1"/>
      <c r="I49" s="1"/>
      <c r="J49" s="2"/>
    </row>
    <row r="50" spans="1:10">
      <c r="A50" t="s">
        <v>333</v>
      </c>
      <c r="B50" s="43"/>
      <c r="C50" s="68"/>
      <c r="D50" s="4" t="str">
        <f t="array" ref="D50">IF(OR(ISNUMBER(SEARCH(","&amp;$A50&amp;",",","&amp;WnSAssignmentMoveShip&amp;","))),"Y","-")</f>
        <v>-</v>
      </c>
      <c r="E50" s="5" t="str">
        <f t="array" ref="E50">IF(D50="Y",MAX(IF(ISNUMBER(SEARCH(CONCATENATE(",",$A50,","),CONCATENATE(",",WnSAssignmentMoveShip,","))),TaskRankRequirements)),"")</f>
        <v/>
      </c>
      <c r="F50" s="1"/>
      <c r="G50" s="1"/>
      <c r="H50" s="1"/>
      <c r="I50" s="1"/>
      <c r="J50" s="2"/>
    </row>
    <row r="51" spans="1:10">
      <c r="A51" t="s">
        <v>333</v>
      </c>
      <c r="B51" s="43"/>
      <c r="C51" s="68"/>
      <c r="D51" s="4" t="str">
        <f t="array" ref="D51">IF(OR(ISNUMBER(SEARCH(","&amp;$A51&amp;",",","&amp;WnSAssignmentMoveShip&amp;","))),"Y","-")</f>
        <v>-</v>
      </c>
      <c r="E51" s="5" t="str">
        <f t="array" ref="E51">IF(D51="Y",MAX(IF(ISNUMBER(SEARCH(CONCATENATE(",",$A51,","),CONCATENATE(",",WnSAssignmentMoveShip,","))),TaskRankRequirements)),"")</f>
        <v/>
      </c>
      <c r="F51" s="1"/>
      <c r="G51" s="1"/>
      <c r="H51" s="1"/>
      <c r="I51" s="1"/>
      <c r="J51" s="2"/>
    </row>
    <row r="52" spans="1:10">
      <c r="A52" s="13" t="s">
        <v>423</v>
      </c>
      <c r="B52" s="44"/>
      <c r="C52" s="74"/>
      <c r="D52" s="11" t="str">
        <f t="array" ref="D52">IF(OR(ISNUMBER(SEARCH(","&amp;$A52&amp;",",","&amp;WnSAssignmentMoveShip&amp;","))),"Y","-")</f>
        <v>-</v>
      </c>
      <c r="E52" s="12" t="str">
        <f t="array" ref="E52">IF(D52="Y",MAX(IF(ISNUMBER(SEARCH(CONCATENATE(",",$A52,","),CONCATENATE(",",WnSAssignmentMoveShip,","))),TaskRankRequirements)),"")</f>
        <v/>
      </c>
      <c r="F52" s="13"/>
      <c r="G52" s="13"/>
      <c r="H52" s="13"/>
      <c r="I52" s="13"/>
      <c r="J52" s="14"/>
    </row>
    <row r="53" spans="1:10">
      <c r="A53" t="s">
        <v>160</v>
      </c>
      <c r="B53" s="34" t="s">
        <v>43</v>
      </c>
      <c r="C53" s="65" t="s">
        <v>43</v>
      </c>
      <c r="D53" s="19" t="str">
        <f t="array" ref="D53">IF(OR(ISNUMBER(SEARCH(","&amp;$A53&amp;",",","&amp;WnSAssignmentMoveShip&amp;","))),"Y","-")</f>
        <v>Y</v>
      </c>
      <c r="E53" s="20">
        <f t="array" ref="E53">IF(D53="Y",MAX(IF(ISNUMBER(SEARCH(CONCATENATE(",",$A53,","),CONCATENATE(",",WnSAssignmentMoveShip,","))),TaskRankRequirements)),"")</f>
        <v>0</v>
      </c>
      <c r="F53" s="21" t="s">
        <v>400</v>
      </c>
      <c r="G53" s="21"/>
      <c r="H53" s="21" t="s">
        <v>401</v>
      </c>
      <c r="I53" s="21"/>
      <c r="J53" s="22"/>
    </row>
    <row r="54" spans="1:10">
      <c r="A54" t="s">
        <v>333</v>
      </c>
      <c r="B54" s="69"/>
      <c r="C54" s="45"/>
      <c r="D54" s="4" t="str">
        <f t="array" ref="D54">IF(OR(ISNUMBER(SEARCH(","&amp;$A54&amp;",",","&amp;WnSAssignmentMoveShip&amp;","))),"Y","-")</f>
        <v>-</v>
      </c>
      <c r="E54" s="5" t="str">
        <f t="array" ref="E54">IF(D54="Y",MAX(IF(ISNUMBER(SEARCH(CONCATENATE(",",$A54,","),CONCATENATE(",",WnSAssignmentMoveShip,","))),TaskRankRequirements)),"")</f>
        <v/>
      </c>
      <c r="F54" s="1"/>
      <c r="G54" s="1"/>
      <c r="H54" s="1"/>
      <c r="I54" s="1"/>
      <c r="J54" s="2"/>
    </row>
    <row r="55" spans="1:10">
      <c r="A55" t="s">
        <v>333</v>
      </c>
      <c r="B55" s="40"/>
      <c r="C55" s="46"/>
      <c r="D55" s="4" t="str">
        <f t="array" ref="D55">IF(OR(ISNUMBER(SEARCH(","&amp;$A55&amp;",",","&amp;WnSAssignmentMoveShip&amp;","))),"Y","-")</f>
        <v>-</v>
      </c>
      <c r="E55" s="5" t="str">
        <f t="array" ref="E55">IF(D55="Y",MAX(IF(ISNUMBER(SEARCH(CONCATENATE(",",$A55,","),CONCATENATE(",",WnSAssignmentMoveShip,","))),TaskRankRequirements)),"")</f>
        <v/>
      </c>
      <c r="F55" s="1"/>
      <c r="G55" s="1"/>
      <c r="H55" s="1"/>
      <c r="I55" s="1"/>
      <c r="J55" s="2"/>
    </row>
    <row r="56" spans="1:10">
      <c r="A56" t="s">
        <v>333</v>
      </c>
      <c r="B56" s="41"/>
      <c r="C56" s="47"/>
      <c r="D56" s="4" t="str">
        <f t="array" ref="D56">IF(OR(ISNUMBER(SEARCH(","&amp;$A56&amp;",",","&amp;WnSAssignmentMoveShip&amp;","))),"Y","-")</f>
        <v>-</v>
      </c>
      <c r="E56" s="5" t="str">
        <f t="array" ref="E56">IF(D56="Y",MAX(IF(ISNUMBER(SEARCH(CONCATENATE(",",$A56,","),CONCATENATE(",",WnSAssignmentMoveShip,","))),TaskRankRequirements)),"")</f>
        <v/>
      </c>
      <c r="F56" s="1"/>
      <c r="G56" s="1"/>
      <c r="H56" s="1"/>
      <c r="I56" s="1"/>
      <c r="J56" s="2"/>
    </row>
    <row r="57" spans="1:10">
      <c r="A57" t="s">
        <v>333</v>
      </c>
      <c r="B57" s="37"/>
      <c r="C57" s="48"/>
      <c r="D57" s="4" t="str">
        <f t="array" ref="D57">IF(OR(ISNUMBER(SEARCH(","&amp;$A57&amp;",",","&amp;WnSAssignmentMoveShip&amp;","))),"Y","-")</f>
        <v>-</v>
      </c>
      <c r="E57" s="5" t="str">
        <f t="array" ref="E57">IF(D57="Y",MAX(IF(ISNUMBER(SEARCH(CONCATENATE(",",$A57,","),CONCATENATE(",",WnSAssignmentMoveShip,","))),TaskRankRequirements)),"")</f>
        <v/>
      </c>
      <c r="F57" s="1"/>
      <c r="G57" s="1"/>
      <c r="H57" s="1"/>
      <c r="I57" s="1"/>
      <c r="J57" s="2"/>
    </row>
    <row r="58" spans="1:10">
      <c r="A58" s="13" t="s">
        <v>424</v>
      </c>
      <c r="B58" s="72"/>
      <c r="C58" s="73"/>
      <c r="D58" s="11" t="str">
        <f t="array" ref="D58">IF(OR(ISNUMBER(SEARCH(","&amp;$A58&amp;",",","&amp;WnSAssignmentMoveShip&amp;","))),"Y","-")</f>
        <v>-</v>
      </c>
      <c r="E58" s="12" t="str">
        <f t="array" ref="E58">IF(D58="Y",MAX(IF(ISNUMBER(SEARCH(CONCATENATE(",",$A58,","),CONCATENATE(",",WnSAssignmentMoveShip,","))),TaskRankRequirements)),"")</f>
        <v/>
      </c>
      <c r="F58" s="13"/>
      <c r="G58" s="13"/>
      <c r="H58" s="13"/>
      <c r="I58" s="13"/>
      <c r="J58" s="14"/>
    </row>
    <row r="59" spans="1:10">
      <c r="A59" t="s">
        <v>333</v>
      </c>
      <c r="B59" s="69"/>
      <c r="C59" s="69" t="s">
        <v>407</v>
      </c>
      <c r="D59" s="4" t="str">
        <f t="array" ref="D59">IF(OR(ISNUMBER(SEARCH(","&amp;$A59&amp;",",","&amp;WnSAssignmentMoveShip&amp;","))),"Y","-")</f>
        <v>-</v>
      </c>
      <c r="E59" s="5" t="str">
        <f t="array" ref="E59">IF(D59="Y",MAX(IF(ISNUMBER(SEARCH(CONCATENATE(",",$A59,","),CONCATENATE(",",WnSAssignmentMoveShip,","))),TaskRankRequirements)),"")</f>
        <v/>
      </c>
      <c r="F59" s="1"/>
      <c r="G59" s="1"/>
      <c r="H59" s="1"/>
      <c r="I59" s="1"/>
      <c r="J59" s="2"/>
    </row>
    <row r="60" spans="1:10">
      <c r="A60" t="s">
        <v>333</v>
      </c>
      <c r="B60" s="41"/>
      <c r="C60" s="41" t="s">
        <v>410</v>
      </c>
      <c r="D60" s="4" t="str">
        <f t="array" ref="D60">IF(OR(ISNUMBER(SEARCH(","&amp;$A60&amp;",",","&amp;WnSAssignmentMoveShip&amp;","))),"Y","-")</f>
        <v>-</v>
      </c>
      <c r="E60" s="5" t="str">
        <f t="array" ref="E60">IF(D60="Y",MAX(IF(ISNUMBER(SEARCH(CONCATENATE(",",$A60,","),CONCATENATE(",",WnSAssignmentMoveShip,","))),TaskRankRequirements)),"")</f>
        <v/>
      </c>
      <c r="F60" s="1"/>
      <c r="G60" s="1"/>
      <c r="H60" s="1"/>
      <c r="I60" s="1"/>
      <c r="J60" s="2"/>
    </row>
    <row r="61" spans="1:10">
      <c r="A61" t="s">
        <v>333</v>
      </c>
      <c r="B61" s="69"/>
      <c r="C61" s="69" t="s">
        <v>412</v>
      </c>
      <c r="D61" s="4" t="str">
        <f t="array" ref="D61">IF(OR(ISNUMBER(SEARCH(","&amp;$A61&amp;",",","&amp;WnSAssignmentMoveShip&amp;","))),"Y","-")</f>
        <v>-</v>
      </c>
      <c r="E61" s="5" t="str">
        <f t="array" ref="E61">IF(D61="Y",MAX(IF(ISNUMBER(SEARCH(CONCATENATE(",",$A61,","),CONCATENATE(",",WnSAssignmentMoveShip,","))),TaskRankRequirements)),"")</f>
        <v/>
      </c>
      <c r="F61" s="1"/>
      <c r="G61" s="1"/>
      <c r="H61" s="1"/>
      <c r="I61" s="1"/>
      <c r="J61" s="2"/>
    </row>
    <row r="62" spans="1:10">
      <c r="A62" t="s">
        <v>333</v>
      </c>
      <c r="B62" s="69"/>
      <c r="C62" s="69" t="s">
        <v>412</v>
      </c>
      <c r="D62" s="4" t="str">
        <f t="array" ref="D62">IF(OR(ISNUMBER(SEARCH(","&amp;$A62&amp;",",","&amp;WnSAssignmentMoveShip&amp;","))),"Y","-")</f>
        <v>-</v>
      </c>
      <c r="E62" s="5" t="str">
        <f t="array" ref="E62">IF(D62="Y",MAX(IF(ISNUMBER(SEARCH(CONCATENATE(",",$A62,","),CONCATENATE(",",WnSAssignmentMoveShip,","))),TaskRankRequirements)),"")</f>
        <v/>
      </c>
      <c r="F62" s="1"/>
      <c r="G62" s="1"/>
      <c r="H62" s="1"/>
      <c r="I62" s="1"/>
      <c r="J62" s="2"/>
    </row>
    <row r="63" spans="1:10">
      <c r="A63" t="s">
        <v>333</v>
      </c>
      <c r="B63" s="70"/>
      <c r="C63" s="70" t="s">
        <v>412</v>
      </c>
      <c r="D63" s="4" t="str">
        <f t="array" ref="D63">IF(OR(ISNUMBER(SEARCH(","&amp;$A63&amp;",",","&amp;WnSAssignmentMoveShip&amp;","))),"Y","-")</f>
        <v>-</v>
      </c>
      <c r="E63" s="5" t="str">
        <f t="array" ref="E63">IF(D63="Y",MAX(IF(ISNUMBER(SEARCH(CONCATENATE(",",$A63,","),CONCATENATE(",",WnSAssignmentMoveShip,","))),TaskRankRequirements)),"")</f>
        <v/>
      </c>
      <c r="F63" s="1"/>
      <c r="G63" s="1"/>
      <c r="H63" s="1"/>
      <c r="I63" s="1"/>
      <c r="J63" s="2"/>
    </row>
    <row r="64" spans="1:10">
      <c r="A64" t="s">
        <v>333</v>
      </c>
      <c r="B64" s="36"/>
      <c r="C64" s="36" t="s">
        <v>412</v>
      </c>
      <c r="D64" s="4" t="str">
        <f t="array" ref="D64">IF(OR(ISNUMBER(SEARCH(","&amp;$A64&amp;",",","&amp;WnSAssignmentMoveShip&amp;","))),"Y","-")</f>
        <v>-</v>
      </c>
      <c r="E64" s="5" t="str">
        <f t="array" ref="E64">IF(D64="Y",MAX(IF(ISNUMBER(SEARCH(CONCATENATE(",",$A64,","),CONCATENATE(",",WnSAssignmentMoveShip,","))),TaskRankRequirements)),"")</f>
        <v/>
      </c>
      <c r="F64" s="1"/>
      <c r="G64" s="1"/>
      <c r="H64" s="1"/>
      <c r="I64" s="1"/>
      <c r="J64" s="2"/>
    </row>
    <row r="65" spans="1:10">
      <c r="A65" t="s">
        <v>333</v>
      </c>
      <c r="B65" s="36"/>
      <c r="C65" s="36" t="s">
        <v>412</v>
      </c>
      <c r="D65" s="4" t="str">
        <f t="array" ref="D65">IF(OR(ISNUMBER(SEARCH(","&amp;$A65&amp;",",","&amp;WnSAssignmentMoveShip&amp;","))),"Y","-")</f>
        <v>-</v>
      </c>
      <c r="E65" s="5" t="str">
        <f t="array" ref="E65">IF(D65="Y",MAX(IF(ISNUMBER(SEARCH(CONCATENATE(",",$A65,","),CONCATENATE(",",WnSAssignmentMoveShip,","))),TaskRankRequirements)),"")</f>
        <v/>
      </c>
      <c r="F65" s="1"/>
      <c r="G65" s="1"/>
      <c r="H65" s="1"/>
      <c r="I65" s="1"/>
      <c r="J65" s="2"/>
    </row>
    <row r="66" spans="1:10">
      <c r="A66" t="s">
        <v>333</v>
      </c>
      <c r="B66" s="59"/>
      <c r="C66" s="59" t="s">
        <v>416</v>
      </c>
      <c r="D66" s="4" t="str">
        <f t="array" ref="D66">IF(OR(ISNUMBER(SEARCH(","&amp;$A66&amp;",",","&amp;WnSAssignmentMoveShip&amp;","))),"Y","-")</f>
        <v>-</v>
      </c>
      <c r="E66" s="5" t="str">
        <f t="array" ref="E66">IF(D66="Y",MAX(IF(ISNUMBER(SEARCH(CONCATENATE(",",$A66,","),CONCATENATE(",",WnSAssignmentMoveShip,","))),TaskRankRequirements)),"")</f>
        <v/>
      </c>
      <c r="F66" s="1"/>
      <c r="G66" s="1"/>
      <c r="H66" s="1"/>
      <c r="I66" s="1"/>
      <c r="J66" s="2"/>
    </row>
    <row r="67" spans="1:10">
      <c r="A67" s="10" t="s">
        <v>333</v>
      </c>
      <c r="B67" s="37"/>
      <c r="C67" s="37" t="s">
        <v>417</v>
      </c>
      <c r="D67" s="4" t="str">
        <f t="array" ref="D67">IF(OR(ISNUMBER(SEARCH(","&amp;$A67&amp;",",","&amp;WnSAssignmentMoveShip&amp;","))),"Y","-")</f>
        <v>-</v>
      </c>
      <c r="E67" s="5" t="str">
        <f t="array" ref="E67">IF(D67="Y",MAX(IF(ISNUMBER(SEARCH(CONCATENATE(",",$A67,","),CONCATENATE(",",WnSAssignmentMoveShip,","))),TaskRankRequirements)),"")</f>
        <v/>
      </c>
      <c r="F67" s="1"/>
      <c r="G67" s="1"/>
      <c r="H67" s="1"/>
      <c r="I67" s="1"/>
      <c r="J67" s="2"/>
    </row>
    <row r="68" spans="1:10">
      <c r="A68" s="10" t="s">
        <v>333</v>
      </c>
      <c r="B68" s="71"/>
      <c r="C68" s="71" t="s">
        <v>418</v>
      </c>
      <c r="D68" s="11" t="str">
        <f t="array" ref="D68">IF(OR(ISNUMBER(SEARCH(","&amp;$A68&amp;",",","&amp;WnSAssignmentMoveShip&amp;","))),"Y","-")</f>
        <v>-</v>
      </c>
      <c r="E68" s="12" t="str">
        <f t="array" ref="E68">IF(D68="Y",MAX(IF(ISNUMBER(SEARCH(CONCATENATE(",",$A68,","),CONCATENATE(",",WnSAssignmentMoveShip,","))),TaskRankRequirements)),"")</f>
        <v/>
      </c>
      <c r="F68" s="13"/>
      <c r="G68" s="13"/>
      <c r="H68" s="13"/>
      <c r="I68" s="13"/>
      <c r="J68" s="14"/>
    </row>
  </sheetData>
  <mergeCells count="2">
    <mergeCell ref="D1:J1"/>
    <mergeCell ref="F3:J3"/>
  </mergeCells>
  <conditionalFormatting sqref="A6:A68">
    <cfRule type="expression" dxfId="9" priority="1">
      <formula>A6=""</formula>
    </cfRule>
    <cfRule type="expression" dxfId="8" priority="2" stopIfTrue="1">
      <formula>A6=" "</formula>
    </cfRule>
    <cfRule type="duplicateValues" dxfId="7" priority="3"/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68"/>
  <sheetViews>
    <sheetView workbookViewId="0">
      <pane xSplit="3" ySplit="4" topLeftCell="D5" activePane="bottomRight" state="frozenSplit"/>
      <selection pane="topRight" activeCell="D1" sqref="D1"/>
      <selection pane="bottomLeft" activeCell="A6" sqref="A6"/>
      <selection pane="bottomRight" activeCell="F16" sqref="F16"/>
    </sheetView>
  </sheetViews>
  <sheetFormatPr baseColWidth="10" defaultColWidth="11" defaultRowHeight="13" x14ac:dyDescent="0"/>
  <cols>
    <col min="2" max="2" width="20" bestFit="1" customWidth="1"/>
    <col min="3" max="3" width="16.5703125" customWidth="1"/>
    <col min="4" max="4" width="3" style="8" bestFit="1" customWidth="1"/>
    <col min="5" max="5" width="2" bestFit="1" customWidth="1"/>
    <col min="6" max="6" width="12.5703125" customWidth="1"/>
    <col min="7" max="7" width="16.140625" bestFit="1" customWidth="1"/>
    <col min="8" max="10" width="12.5703125" customWidth="1"/>
  </cols>
  <sheetData>
    <row r="1" spans="1:10" ht="20">
      <c r="D1" s="82" t="s">
        <v>311</v>
      </c>
      <c r="E1" s="83"/>
      <c r="F1" s="83"/>
      <c r="G1" s="83"/>
      <c r="H1" s="83"/>
      <c r="I1" s="83"/>
      <c r="J1" s="84"/>
    </row>
    <row r="2" spans="1:10">
      <c r="C2" s="9" t="s">
        <v>314</v>
      </c>
      <c r="D2" s="4">
        <f>COUNTIF(D6:D68,"Y")</f>
        <v>20</v>
      </c>
      <c r="E2" s="1"/>
      <c r="F2" s="1"/>
      <c r="G2" s="1"/>
      <c r="H2" s="1"/>
      <c r="I2" s="1"/>
      <c r="J2" s="2"/>
    </row>
    <row r="3" spans="1:10">
      <c r="B3" s="9"/>
      <c r="C3" s="9"/>
      <c r="D3" s="4"/>
      <c r="E3" s="1"/>
      <c r="F3" s="85" t="s">
        <v>316</v>
      </c>
      <c r="G3" s="85"/>
      <c r="H3" s="85"/>
      <c r="I3" s="85"/>
      <c r="J3" s="86"/>
    </row>
    <row r="4" spans="1:10">
      <c r="A4" t="s">
        <v>317</v>
      </c>
      <c r="B4" t="s">
        <v>318</v>
      </c>
      <c r="C4" t="s">
        <v>319</v>
      </c>
      <c r="D4" s="17"/>
      <c r="E4" s="18"/>
      <c r="F4" s="15" t="s">
        <v>320</v>
      </c>
      <c r="G4" s="15" t="s">
        <v>583</v>
      </c>
      <c r="H4" s="15" t="s">
        <v>234</v>
      </c>
      <c r="I4" s="15" t="s">
        <v>321</v>
      </c>
      <c r="J4" s="16" t="s">
        <v>322</v>
      </c>
    </row>
    <row r="5" spans="1:10">
      <c r="A5" t="s">
        <v>419</v>
      </c>
      <c r="D5" s="17"/>
      <c r="E5" s="81"/>
      <c r="F5" s="79"/>
      <c r="G5" s="79"/>
      <c r="H5" s="79"/>
      <c r="I5" s="79"/>
      <c r="J5" s="80"/>
    </row>
    <row r="6" spans="1:10">
      <c r="A6" t="s">
        <v>181</v>
      </c>
      <c r="B6" s="51" t="s">
        <v>325</v>
      </c>
      <c r="C6" s="62" t="s">
        <v>325</v>
      </c>
      <c r="D6" s="52" t="str">
        <f t="array" ref="D6">IF(OR(ISNUMBER(SEARCH(","&amp;$A6&amp;",",","&amp;WnSAssignmentHarbourCruise&amp;","))),"Y","-")</f>
        <v>Y</v>
      </c>
      <c r="E6" s="53">
        <f t="array" ref="E6">IF(D6="Y",MAX(IF(ISNUMBER(SEARCH(CONCATENATE(",",$A6,","),CONCATENATE(",",WnSAssignmentHarbourCruise,","))),TaskRankRequirements)),"")</f>
        <v>0</v>
      </c>
      <c r="F6" s="54" t="s">
        <v>326</v>
      </c>
      <c r="G6" s="54" t="s">
        <v>326</v>
      </c>
      <c r="H6" s="54" t="s">
        <v>326</v>
      </c>
      <c r="I6" s="54" t="s">
        <v>326</v>
      </c>
      <c r="J6" s="78" t="s">
        <v>326</v>
      </c>
    </row>
    <row r="7" spans="1:10">
      <c r="A7" t="s">
        <v>165</v>
      </c>
      <c r="B7" s="35" t="s">
        <v>329</v>
      </c>
      <c r="C7" s="63" t="s">
        <v>329</v>
      </c>
      <c r="D7" s="19" t="str">
        <f t="array" ref="D7">IF(OR(ISNUMBER(SEARCH(","&amp;$A7&amp;",",","&amp;WnSAssignmentHarbourCruise&amp;","))),"Y","-")</f>
        <v>Y</v>
      </c>
      <c r="E7" s="20">
        <f t="array" ref="E7">IF(D7="Y",MAX(IF(ISNUMBER(SEARCH(CONCATENATE(",",$A7,","),CONCATENATE(",",WnSAssignmentHarbourCruise,","))),TaskRankRequirements)),"")</f>
        <v>5</v>
      </c>
      <c r="F7" s="21" t="s">
        <v>330</v>
      </c>
      <c r="G7" s="21" t="s">
        <v>332</v>
      </c>
      <c r="H7" s="21" t="s">
        <v>331</v>
      </c>
      <c r="I7" s="21"/>
      <c r="J7" s="58"/>
    </row>
    <row r="8" spans="1:10">
      <c r="A8" s="10" t="s">
        <v>333</v>
      </c>
      <c r="B8" s="36"/>
      <c r="C8" s="50" t="s">
        <v>334</v>
      </c>
      <c r="D8" s="7" t="str">
        <f t="array" ref="D8">IF(OR(ISNUMBER(SEARCH(","&amp;$A8&amp;",",","&amp;WnSAssignmentHarbourCruise&amp;","))),"Y","-")</f>
        <v>-</v>
      </c>
      <c r="E8" s="6" t="str">
        <f t="array" ref="E8">IF(D8="Y",MAX(IF(ISNUMBER(SEARCH(CONCATENATE(",",$A8,","),CONCATENATE(",",WnSAssignmentHarbourCruise,","))),TaskRankRequirements)),"")</f>
        <v/>
      </c>
      <c r="F8" s="10"/>
      <c r="G8" s="10"/>
      <c r="H8" s="10"/>
      <c r="I8" s="10"/>
      <c r="J8" s="33"/>
    </row>
    <row r="9" spans="1:10">
      <c r="A9" s="10" t="s">
        <v>333</v>
      </c>
      <c r="B9" s="37"/>
      <c r="C9" s="48" t="s">
        <v>335</v>
      </c>
      <c r="D9" s="4" t="str">
        <f t="array" ref="D9">IF(OR(ISNUMBER(SEARCH(","&amp;$A9&amp;",",","&amp;WnSAssignmentHarbourCruise&amp;","))),"Y","-")</f>
        <v>-</v>
      </c>
      <c r="E9" s="5" t="str">
        <f t="array" ref="E9">IF(D9="Y",MAX(IF(ISNUMBER(SEARCH(CONCATENATE(",",$A9,","),CONCATENATE(",",WnSAssignmentHarbourCruise,","))),TaskRankRequirements)),"")</f>
        <v/>
      </c>
      <c r="F9" s="1"/>
      <c r="G9" s="1"/>
      <c r="H9" s="1"/>
      <c r="I9" s="1"/>
      <c r="J9" s="2"/>
    </row>
    <row r="10" spans="1:10">
      <c r="A10" s="10" t="s">
        <v>333</v>
      </c>
      <c r="B10" s="38"/>
      <c r="C10" s="64" t="s">
        <v>336</v>
      </c>
      <c r="D10" s="4" t="str">
        <f t="array" ref="D10">IF(OR(ISNUMBER(SEARCH(","&amp;$A10&amp;",",","&amp;WnSAssignmentHarbourCruise&amp;","))),"Y","-")</f>
        <v>-</v>
      </c>
      <c r="E10" s="5" t="str">
        <f t="array" ref="E10">IF(D10="Y",MAX(IF(ISNUMBER(SEARCH(CONCATENATE(",",$A10,","),CONCATENATE(",",WnSAssignmentHarbourCruise,","))),TaskRankRequirements)),"")</f>
        <v/>
      </c>
      <c r="F10" s="10"/>
      <c r="G10" s="1"/>
      <c r="H10" s="1"/>
      <c r="I10" s="1"/>
      <c r="J10" s="2"/>
    </row>
    <row r="11" spans="1:10">
      <c r="A11" t="s">
        <v>420</v>
      </c>
      <c r="B11" s="76"/>
      <c r="C11" s="77"/>
      <c r="D11" s="11" t="str">
        <f t="array" ref="D11">IF(OR(ISNUMBER(SEARCH(","&amp;$A11&amp;",",","&amp;WnSAssignmentHarbourCruise&amp;","))),"Y","-")</f>
        <v>-</v>
      </c>
      <c r="E11" s="12" t="str">
        <f t="array" ref="E11">IF(D11="Y",MAX(IF(ISNUMBER(SEARCH(CONCATENATE(",",$A11,","),CONCATENATE(",",WnSAssignmentHarbourCruise,","))),TaskRankRequirements)),"")</f>
        <v/>
      </c>
      <c r="F11" s="75"/>
      <c r="G11" s="13"/>
      <c r="H11" s="13"/>
      <c r="I11" s="13"/>
      <c r="J11" s="14"/>
    </row>
    <row r="12" spans="1:10">
      <c r="A12" t="s">
        <v>173</v>
      </c>
      <c r="B12" s="34" t="s">
        <v>44</v>
      </c>
      <c r="C12" s="65" t="s">
        <v>44</v>
      </c>
      <c r="D12" s="19" t="str">
        <f t="array" ref="D12">IF(OR(ISNUMBER(SEARCH(","&amp;$A12&amp;",",","&amp;WnSAssignmentHarbourCruise&amp;","))),"Y","-")</f>
        <v>Y</v>
      </c>
      <c r="E12" s="20">
        <f t="array" ref="E12">IF(D12="Y",MAX(IF(ISNUMBER(SEARCH(CONCATENATE(",",$A12,","),CONCATENATE(",",WnSAssignmentHarbourCruise,","))),TaskRankRequirements)),"")</f>
        <v>4</v>
      </c>
      <c r="F12" s="21" t="s">
        <v>241</v>
      </c>
      <c r="G12" s="21" t="s">
        <v>339</v>
      </c>
      <c r="H12" s="21" t="s">
        <v>339</v>
      </c>
      <c r="I12" s="21" t="s">
        <v>425</v>
      </c>
      <c r="J12" s="58" t="s">
        <v>339</v>
      </c>
    </row>
    <row r="13" spans="1:10">
      <c r="A13" t="s">
        <v>179</v>
      </c>
      <c r="B13" s="34" t="s">
        <v>341</v>
      </c>
      <c r="C13" s="65" t="s">
        <v>342</v>
      </c>
      <c r="D13" s="19" t="str">
        <f t="array" ref="D13">IF(OR(ISNUMBER(SEARCH(","&amp;$A13&amp;",",","&amp;WnSAssignmentHarbourCruise&amp;","))),"Y","-")</f>
        <v>Y</v>
      </c>
      <c r="E13" s="20">
        <f t="array" ref="E13">IF(D13="Y",MAX(IF(ISNUMBER(SEARCH(CONCATENATE(",",$A13,","),CONCATENATE(",",WnSAssignmentHarbourCruise,","))),TaskRankRequirements)),"")</f>
        <v>4</v>
      </c>
      <c r="F13" s="21" t="s">
        <v>343</v>
      </c>
      <c r="G13" s="21"/>
      <c r="H13" s="21"/>
      <c r="I13" s="21"/>
      <c r="J13" s="58"/>
    </row>
    <row r="14" spans="1:10">
      <c r="A14" t="s">
        <v>333</v>
      </c>
      <c r="B14" s="145"/>
      <c r="C14" s="146" t="s">
        <v>350</v>
      </c>
      <c r="D14" s="4" t="str">
        <f t="array" ref="D14">IF(OR(ISNUMBER(SEARCH(","&amp;$A14&amp;",",","&amp;WnSAssignmentHarbourCruise&amp;","))),"Y","-")</f>
        <v>-</v>
      </c>
      <c r="E14" s="5" t="str">
        <f t="array" ref="E14">IF(D14="Y",MAX(IF(ISNUMBER(SEARCH(CONCATENATE(",",$A14,","),CONCATENATE(",",WnSAssignmentHarbourCruise,","))),TaskRankRequirements)),"")</f>
        <v/>
      </c>
      <c r="F14" s="1"/>
      <c r="G14" s="1"/>
      <c r="H14" s="1"/>
      <c r="I14" s="1"/>
      <c r="J14" s="2"/>
    </row>
    <row r="15" spans="1:10">
      <c r="A15" t="s">
        <v>333</v>
      </c>
      <c r="B15" s="145"/>
      <c r="C15" s="146" t="s">
        <v>352</v>
      </c>
      <c r="D15" s="7" t="str">
        <f t="array" ref="D15">IF(OR(ISNUMBER(SEARCH(","&amp;$A15&amp;",",","&amp;WnSAssignmentHarbourCruise&amp;","))),"Y","-")</f>
        <v>-</v>
      </c>
      <c r="E15" s="6" t="str">
        <f t="array" ref="E15">IF(D15="Y",MAX(IF(ISNUMBER(SEARCH(CONCATENATE(",",$A15,","),CONCATENATE(",",WnSAssignmentHarbourCruise,","))),TaskRankRequirements)),"")</f>
        <v/>
      </c>
      <c r="F15" s="10"/>
      <c r="G15" s="10"/>
      <c r="H15" s="10"/>
      <c r="I15" s="10"/>
      <c r="J15" s="33"/>
    </row>
    <row r="16" spans="1:10">
      <c r="A16" t="s">
        <v>166</v>
      </c>
      <c r="B16" s="34" t="s">
        <v>354</v>
      </c>
      <c r="C16" s="65" t="s">
        <v>355</v>
      </c>
      <c r="D16" s="19" t="str">
        <f t="array" ref="D16">IF(OR(ISNUMBER(SEARCH(","&amp;$A16&amp;",",","&amp;WnSAssignmentHarbourCruise&amp;","))),"Y","-")</f>
        <v>Y</v>
      </c>
      <c r="E16" s="20">
        <f t="array" ref="E16">IF(D16="Y",MAX(IF(ISNUMBER(SEARCH(CONCATENATE(",",$A16,","),CONCATENATE(",",WnSAssignmentHarbourCruise,","))),TaskRankRequirements)),"")</f>
        <v>4</v>
      </c>
      <c r="F16" s="21" t="s">
        <v>357</v>
      </c>
      <c r="G16" s="21" t="s">
        <v>584</v>
      </c>
      <c r="H16" s="21" t="s">
        <v>344</v>
      </c>
      <c r="I16" s="21"/>
      <c r="J16" s="58"/>
    </row>
    <row r="17" spans="1:10">
      <c r="A17" t="s">
        <v>333</v>
      </c>
      <c r="B17" s="145"/>
      <c r="C17" s="146" t="s">
        <v>360</v>
      </c>
      <c r="D17" s="4" t="str">
        <f t="array" ref="D17">IF(OR(ISNUMBER(SEARCH(","&amp;$A17&amp;",",","&amp;WnSAssignmentHarbourCruise&amp;","))),"Y","-")</f>
        <v>-</v>
      </c>
      <c r="E17" s="5" t="str">
        <f t="array" ref="E17">IF(D17="Y",MAX(IF(ISNUMBER(SEARCH(CONCATENATE(",",$A17,","),CONCATENATE(",",WnSAssignmentHarbourCruise,","))),TaskRankRequirements)),"")</f>
        <v/>
      </c>
      <c r="F17" s="1"/>
      <c r="G17" s="1"/>
      <c r="H17" s="1"/>
      <c r="I17" s="1"/>
      <c r="J17" s="2"/>
    </row>
    <row r="18" spans="1:10">
      <c r="A18" t="s">
        <v>333</v>
      </c>
      <c r="B18" s="145"/>
      <c r="C18" s="146"/>
      <c r="D18" s="7" t="str">
        <f t="array" ref="D18">IF(OR(ISNUMBER(SEARCH(","&amp;$A18&amp;",",","&amp;WnSAssignmentHarbourCruise&amp;","))),"Y","-")</f>
        <v>-</v>
      </c>
      <c r="E18" s="6" t="str">
        <f t="array" ref="E18">IF(D18="Y",MAX(IF(ISNUMBER(SEARCH(CONCATENATE(",",$A18,","),CONCATENATE(",",WnSAssignmentHarbourCruise,","))),TaskRankRequirements)),"")</f>
        <v/>
      </c>
      <c r="F18" s="10"/>
      <c r="G18" s="10"/>
      <c r="H18" s="10"/>
      <c r="I18" s="10"/>
      <c r="J18" s="33"/>
    </row>
    <row r="19" spans="1:10">
      <c r="A19" t="s">
        <v>333</v>
      </c>
      <c r="B19" s="145"/>
      <c r="C19" s="146"/>
      <c r="D19" s="7" t="str">
        <f t="array" ref="D19">IF(OR(ISNUMBER(SEARCH(","&amp;$A19&amp;",",","&amp;WnSAssignmentHarbourCruise&amp;","))),"Y","-")</f>
        <v>-</v>
      </c>
      <c r="E19" s="6" t="str">
        <f t="array" ref="E19">IF(D19="Y",MAX(IF(ISNUMBER(SEARCH(CONCATENATE(",",$A19,","),CONCATENATE(",",WnSAssignmentHarbourCruise,","))),TaskRankRequirements)),"")</f>
        <v/>
      </c>
      <c r="F19" s="10"/>
      <c r="G19" s="10"/>
      <c r="H19" s="10"/>
      <c r="I19" s="10"/>
      <c r="J19" s="33"/>
    </row>
    <row r="20" spans="1:10">
      <c r="A20" t="s">
        <v>333</v>
      </c>
      <c r="B20" s="145"/>
      <c r="C20" s="146" t="s">
        <v>365</v>
      </c>
      <c r="D20" s="4" t="str">
        <f t="array" ref="D20">IF(OR(ISNUMBER(SEARCH(","&amp;$A20&amp;",",","&amp;WnSAssignmentHarbourCruise&amp;","))),"Y","-")</f>
        <v>-</v>
      </c>
      <c r="E20" s="5" t="str">
        <f t="array" ref="E20">IF(D20="Y",MAX(IF(ISNUMBER(SEARCH(CONCATENATE(",",$A20,","),CONCATENATE(",",WnSAssignmentHarbourCruise,","))),TaskRankRequirements)),"")</f>
        <v/>
      </c>
      <c r="F20" s="1"/>
      <c r="G20" s="1"/>
      <c r="H20" s="1"/>
      <c r="I20" s="1"/>
      <c r="J20" s="2"/>
    </row>
    <row r="21" spans="1:10">
      <c r="A21" t="s">
        <v>333</v>
      </c>
      <c r="B21" s="145"/>
      <c r="C21" s="146"/>
      <c r="D21" s="4" t="str">
        <f t="array" ref="D21">IF(OR(ISNUMBER(SEARCH(","&amp;$A21&amp;",",","&amp;WnSAssignmentHarbourCruise&amp;","))),"Y","-")</f>
        <v>-</v>
      </c>
      <c r="E21" s="5" t="str">
        <f t="array" ref="E21">IF(D21="Y",MAX(IF(ISNUMBER(SEARCH(CONCATENATE(",",$A21,","),CONCATENATE(",",WnSAssignmentHarbourCruise,","))),TaskRankRequirements)),"")</f>
        <v/>
      </c>
      <c r="F21" s="1"/>
      <c r="G21" s="1"/>
      <c r="H21" s="1"/>
      <c r="I21" s="1"/>
      <c r="J21" s="2"/>
    </row>
    <row r="22" spans="1:10">
      <c r="A22" t="s">
        <v>333</v>
      </c>
      <c r="B22" s="145"/>
      <c r="C22" s="146"/>
      <c r="D22" s="4" t="str">
        <f t="array" ref="D22">IF(OR(ISNUMBER(SEARCH(","&amp;$A22&amp;",",","&amp;WnSAssignmentHarbourCruise&amp;","))),"Y","-")</f>
        <v>-</v>
      </c>
      <c r="E22" s="5" t="str">
        <f t="array" ref="E22">IF(D22="Y",MAX(IF(ISNUMBER(SEARCH(CONCATENATE(",",$A22,","),CONCATENATE(",",WnSAssignmentHarbourCruise,","))),TaskRankRequirements)),"")</f>
        <v/>
      </c>
      <c r="F22" s="1"/>
      <c r="G22" s="1"/>
      <c r="H22" s="1"/>
      <c r="I22" s="1"/>
      <c r="J22" s="2"/>
    </row>
    <row r="23" spans="1:10">
      <c r="A23" t="s">
        <v>333</v>
      </c>
      <c r="B23" s="145"/>
      <c r="C23" s="146"/>
      <c r="D23" s="7" t="str">
        <f t="array" ref="D23">IF(OR(ISNUMBER(SEARCH(","&amp;$A23&amp;",",","&amp;WnSAssignmentHarbourCruise&amp;","))),"Y","-")</f>
        <v>-</v>
      </c>
      <c r="E23" s="6" t="str">
        <f t="array" ref="E23">IF(D23="Y",MAX(IF(ISNUMBER(SEARCH(CONCATENATE(",",$A23,","),CONCATENATE(",",WnSAssignmentHarbourCruise,","))),TaskRankRequirements)),"")</f>
        <v/>
      </c>
      <c r="F23" s="10"/>
      <c r="G23" s="10"/>
      <c r="H23" s="10"/>
      <c r="I23" s="10"/>
      <c r="J23" s="33"/>
    </row>
    <row r="24" spans="1:10">
      <c r="A24" t="s">
        <v>333</v>
      </c>
      <c r="B24" s="145"/>
      <c r="C24" s="146"/>
      <c r="D24" s="7" t="str">
        <f t="array" ref="D24">IF(OR(ISNUMBER(SEARCH(","&amp;$A24&amp;",",","&amp;WnSAssignmentHarbourCruise&amp;","))),"Y","-")</f>
        <v>-</v>
      </c>
      <c r="E24" s="6" t="str">
        <f t="array" ref="E24">IF(D24="Y",MAX(IF(ISNUMBER(SEARCH(CONCATENATE(",",$A24,","),CONCATENATE(",",WnSAssignmentHarbourCruise,","))),TaskRankRequirements)),"")</f>
        <v/>
      </c>
      <c r="F24" s="10"/>
      <c r="G24" s="10"/>
      <c r="H24" s="10"/>
      <c r="I24" s="10"/>
      <c r="J24" s="33"/>
    </row>
    <row r="25" spans="1:10">
      <c r="A25" t="s">
        <v>333</v>
      </c>
      <c r="B25" s="41"/>
      <c r="C25" s="47"/>
      <c r="D25" s="4" t="str">
        <f t="array" ref="D25">IF(OR(ISNUMBER(SEARCH(","&amp;$A25&amp;",",","&amp;WnSAssignmentHarbourCruise&amp;","))),"Y","-")</f>
        <v>-</v>
      </c>
      <c r="E25" s="5" t="str">
        <f t="array" ref="E25">IF(D25="Y",MAX(IF(ISNUMBER(SEARCH(CONCATENATE(",",$A25,","),CONCATENATE(",",WnSAssignmentHarbourCruise,","))),TaskRankRequirements)),"")</f>
        <v/>
      </c>
      <c r="F25" s="1"/>
      <c r="G25" s="1"/>
      <c r="H25" s="1"/>
      <c r="I25" s="1"/>
      <c r="J25" s="2"/>
    </row>
    <row r="26" spans="1:10">
      <c r="A26" t="s">
        <v>333</v>
      </c>
      <c r="B26" s="41"/>
      <c r="C26" s="47"/>
      <c r="D26" s="4" t="str">
        <f t="array" ref="D26">IF(OR(ISNUMBER(SEARCH(","&amp;$A26&amp;",",","&amp;WnSAssignmentHarbourCruise&amp;","))),"Y","-")</f>
        <v>-</v>
      </c>
      <c r="E26" s="5" t="str">
        <f t="array" ref="E26">IF(D26="Y",MAX(IF(ISNUMBER(SEARCH(CONCATENATE(",",$A26,","),CONCATENATE(",",WnSAssignmentHarbourCruise,","))),TaskRankRequirements)),"")</f>
        <v/>
      </c>
      <c r="F26" s="1"/>
      <c r="G26" s="1"/>
      <c r="H26" s="1"/>
      <c r="I26" s="1"/>
      <c r="J26" s="2"/>
    </row>
    <row r="27" spans="1:10">
      <c r="A27" t="s">
        <v>174</v>
      </c>
      <c r="B27" s="34" t="s">
        <v>371</v>
      </c>
      <c r="C27" s="65"/>
      <c r="D27" s="19" t="str">
        <f t="array" ref="D27">IF(OR(ISNUMBER(SEARCH(","&amp;$A27&amp;",",","&amp;WnSAssignmentHarbourCruise&amp;","))),"Y","-")</f>
        <v>Y</v>
      </c>
      <c r="E27" s="20">
        <f t="array" ref="E27">IF(D27="Y",MAX(IF(ISNUMBER(SEARCH(CONCATENATE(",",$A27,","),CONCATENATE(",",WnSAssignmentHarbourCruise,","))),TaskRankRequirements)),"")</f>
        <v>3</v>
      </c>
      <c r="F27" s="21" t="s">
        <v>372</v>
      </c>
      <c r="G27" s="21" t="s">
        <v>591</v>
      </c>
      <c r="H27" s="21" t="s">
        <v>373</v>
      </c>
      <c r="I27" s="21"/>
      <c r="J27" s="58"/>
    </row>
    <row r="28" spans="1:10">
      <c r="A28" t="s">
        <v>177</v>
      </c>
      <c r="B28" s="34" t="s">
        <v>371</v>
      </c>
      <c r="C28" s="65"/>
      <c r="D28" s="19" t="str">
        <f t="array" ref="D28">IF(OR(ISNUMBER(SEARCH(","&amp;$A28&amp;",",","&amp;WnSAssignmentHarbourCruise&amp;","))),"Y","-")</f>
        <v>Y</v>
      </c>
      <c r="E28" s="20">
        <f t="array" ref="E28">IF(D28="Y",MAX(IF(ISNUMBER(SEARCH(CONCATENATE(",",$A28,","),CONCATENATE(",",WnSAssignmentHarbourCruise,","))),TaskRankRequirements)),"")</f>
        <v>3</v>
      </c>
      <c r="F28" s="21" t="s">
        <v>372</v>
      </c>
      <c r="G28" s="21" t="s">
        <v>591</v>
      </c>
      <c r="H28" s="21" t="s">
        <v>376</v>
      </c>
      <c r="I28" s="21"/>
      <c r="J28" s="58"/>
    </row>
    <row r="29" spans="1:10">
      <c r="A29" t="s">
        <v>175</v>
      </c>
      <c r="B29" s="34" t="s">
        <v>371</v>
      </c>
      <c r="C29" s="65"/>
      <c r="D29" s="19" t="str">
        <f t="array" ref="D29">IF(OR(ISNUMBER(SEARCH(","&amp;$A29&amp;",",","&amp;WnSAssignmentHarbourCruise&amp;","))),"Y","-")</f>
        <v>Y</v>
      </c>
      <c r="E29" s="20">
        <f t="array" ref="E29">IF(D29="Y",MAX(IF(ISNUMBER(SEARCH(CONCATENATE(",",$A29,","),CONCATENATE(",",WnSAssignmentHarbourCruise,","))),TaskRankRequirements)),"")</f>
        <v>3</v>
      </c>
      <c r="F29" s="21" t="s">
        <v>378</v>
      </c>
      <c r="G29" s="21" t="s">
        <v>591</v>
      </c>
      <c r="H29" s="21" t="s">
        <v>379</v>
      </c>
      <c r="I29" s="21"/>
      <c r="J29" s="58"/>
    </row>
    <row r="30" spans="1:10">
      <c r="A30" t="s">
        <v>176</v>
      </c>
      <c r="B30" s="34" t="s">
        <v>371</v>
      </c>
      <c r="C30" s="65"/>
      <c r="D30" s="19" t="str">
        <f t="array" ref="D30">IF(OR(ISNUMBER(SEARCH(","&amp;$A30&amp;",",","&amp;WnSAssignmentHarbourCruise&amp;","))),"Y","-")</f>
        <v>Y</v>
      </c>
      <c r="E30" s="20">
        <f t="array" ref="E30">IF(D30="Y",MAX(IF(ISNUMBER(SEARCH(CONCATENATE(",",$A30,","),CONCATENATE(",",WnSAssignmentHarbourCruise,","))),TaskRankRequirements)),"")</f>
        <v>3</v>
      </c>
      <c r="F30" s="21" t="s">
        <v>378</v>
      </c>
      <c r="G30" s="21" t="s">
        <v>591</v>
      </c>
      <c r="H30" s="21" t="s">
        <v>381</v>
      </c>
      <c r="I30" s="21"/>
      <c r="J30" s="58"/>
    </row>
    <row r="31" spans="1:10">
      <c r="A31" t="s">
        <v>163</v>
      </c>
      <c r="B31" s="42" t="s">
        <v>383</v>
      </c>
      <c r="C31" s="67" t="s">
        <v>384</v>
      </c>
      <c r="D31" s="29" t="str">
        <f t="array" ref="D31">IF(OR(ISNUMBER(SEARCH(","&amp;$A31&amp;",",","&amp;WnSAssignmentHarbourCruise&amp;","))),"Y","-")</f>
        <v>Y</v>
      </c>
      <c r="E31" s="30">
        <f t="array" ref="E31">IF(D31="Y",MAX(IF(ISNUMBER(SEARCH(CONCATENATE(",",$A31,","),CONCATENATE(",",WnSAssignmentHarbourCruise,","))),TaskRankRequirements)),"")</f>
        <v>1</v>
      </c>
      <c r="F31" s="31" t="s">
        <v>356</v>
      </c>
      <c r="G31" s="31" t="s">
        <v>356</v>
      </c>
      <c r="H31" s="31" t="s">
        <v>356</v>
      </c>
      <c r="I31" s="31" t="s">
        <v>356</v>
      </c>
      <c r="J31" s="32" t="s">
        <v>356</v>
      </c>
    </row>
    <row r="32" spans="1:10">
      <c r="A32" t="s">
        <v>426</v>
      </c>
      <c r="B32" s="42" t="s">
        <v>383</v>
      </c>
      <c r="C32" s="67" t="s">
        <v>386</v>
      </c>
      <c r="D32" s="29" t="str">
        <f t="array" ref="D32">IF(OR(ISNUMBER(SEARCH(","&amp;$A32&amp;",",","&amp;WnSAssignmentHarbourCruise&amp;","))),"Y","-")</f>
        <v>Y</v>
      </c>
      <c r="E32" s="30">
        <f t="array" ref="E32">IF(D32="Y",MAX(IF(ISNUMBER(SEARCH(CONCATENATE(",",$A32,","),CONCATENATE(",",WnSAssignmentHarbourCruise,","))),TaskRankRequirements)),"")</f>
        <v>3</v>
      </c>
      <c r="F32" s="31" t="s">
        <v>372</v>
      </c>
      <c r="G32" s="31" t="s">
        <v>591</v>
      </c>
      <c r="H32" s="31"/>
      <c r="I32" s="31" t="s">
        <v>386</v>
      </c>
      <c r="J32" s="32"/>
    </row>
    <row r="33" spans="1:10">
      <c r="A33" t="s">
        <v>427</v>
      </c>
      <c r="B33" s="42" t="s">
        <v>383</v>
      </c>
      <c r="C33" s="67"/>
      <c r="D33" s="29" t="str">
        <f t="array" ref="D33">IF(OR(ISNUMBER(SEARCH(","&amp;$A33&amp;",",","&amp;WnSAssignmentHarbourCruise&amp;","))),"Y","-")</f>
        <v>Y</v>
      </c>
      <c r="E33" s="30">
        <f t="array" ref="E33">IF(D33="Y",MAX(IF(ISNUMBER(SEARCH(CONCATENATE(",",$A33,","),CONCATENATE(",",WnSAssignmentHarbourCruise,","))),TaskRankRequirements)),"")</f>
        <v>3</v>
      </c>
      <c r="F33" s="31" t="s">
        <v>378</v>
      </c>
      <c r="G33" s="31" t="s">
        <v>591</v>
      </c>
      <c r="H33" s="31"/>
      <c r="I33" s="31"/>
      <c r="J33" s="32"/>
    </row>
    <row r="34" spans="1:10">
      <c r="A34" t="s">
        <v>171</v>
      </c>
      <c r="B34" s="42" t="s">
        <v>383</v>
      </c>
      <c r="C34" s="67"/>
      <c r="D34" s="29" t="str">
        <f t="array" ref="D34">IF(OR(ISNUMBER(SEARCH(","&amp;$A34&amp;",",","&amp;WnSAssignmentHarbourCruise&amp;","))),"Y","-")</f>
        <v>Y</v>
      </c>
      <c r="E34" s="30">
        <f t="array" ref="E34">IF(D34="Y",MAX(IF(ISNUMBER(SEARCH(CONCATENATE(",",$A34,","),CONCATENATE(",",WnSAssignmentHarbourCruise,","))),TaskRankRequirements)),"")</f>
        <v>2</v>
      </c>
      <c r="F34" s="31" t="s">
        <v>389</v>
      </c>
      <c r="G34" s="31" t="s">
        <v>591</v>
      </c>
      <c r="H34" s="31"/>
      <c r="I34" s="31"/>
      <c r="J34" s="32"/>
    </row>
    <row r="35" spans="1:10">
      <c r="A35" t="s">
        <v>428</v>
      </c>
      <c r="B35" s="42" t="s">
        <v>383</v>
      </c>
      <c r="C35" s="67"/>
      <c r="D35" s="29" t="str">
        <f t="array" ref="D35">IF(OR(ISNUMBER(SEARCH(","&amp;$A35&amp;",",","&amp;WnSAssignmentHarbourCruise&amp;","))),"Y","-")</f>
        <v>Y</v>
      </c>
      <c r="E35" s="30">
        <f t="array" ref="E35">IF(D35="Y",MAX(IF(ISNUMBER(SEARCH(CONCATENATE(",",$A35,","),CONCATENATE(",",WnSAssignmentHarbourCruise,","))),TaskRankRequirements)),"")</f>
        <v>2</v>
      </c>
      <c r="F35" s="31" t="s">
        <v>389</v>
      </c>
      <c r="G35" s="31" t="s">
        <v>591</v>
      </c>
      <c r="H35" s="31"/>
      <c r="I35" s="31"/>
      <c r="J35" s="32"/>
    </row>
    <row r="36" spans="1:10">
      <c r="A36" t="s">
        <v>164</v>
      </c>
      <c r="B36" s="42" t="s">
        <v>383</v>
      </c>
      <c r="C36" s="67" t="s">
        <v>392</v>
      </c>
      <c r="D36" s="29" t="str">
        <f t="array" ref="D36">IF(OR(ISNUMBER(SEARCH(","&amp;$A36&amp;",",","&amp;WnSAssignmentHarbourCruise&amp;","))),"Y","-")</f>
        <v>Y</v>
      </c>
      <c r="E36" s="30">
        <f t="array" ref="E36">IF(D36="Y",MAX(IF(ISNUMBER(SEARCH(CONCATENATE(",",$A36,","),CONCATENATE(",",WnSAssignmentHarbourCruise,","))),TaskRankRequirements)),"")</f>
        <v>1</v>
      </c>
      <c r="F36" s="31" t="s">
        <v>392</v>
      </c>
      <c r="G36" s="31" t="s">
        <v>591</v>
      </c>
      <c r="H36" s="31" t="s">
        <v>392</v>
      </c>
      <c r="I36" s="31" t="s">
        <v>392</v>
      </c>
      <c r="J36" s="32"/>
    </row>
    <row r="37" spans="1:10">
      <c r="A37" t="s">
        <v>333</v>
      </c>
      <c r="B37" s="145"/>
      <c r="C37" s="146"/>
      <c r="D37" s="4" t="str">
        <f t="array" ref="D37">IF(OR(ISNUMBER(SEARCH(","&amp;$A37&amp;",",","&amp;WnSAssignmentHarbourCruise&amp;","))),"Y","-")</f>
        <v>-</v>
      </c>
      <c r="E37" s="5" t="str">
        <f t="array" ref="E37">IF(D37="Y",MAX(IF(ISNUMBER(SEARCH(CONCATENATE(",",$A37,","),CONCATENATE(",",WnSAssignmentHarbourCruise,","))),TaskRankRequirements)),"")</f>
        <v/>
      </c>
      <c r="F37" s="1"/>
      <c r="G37" s="1"/>
      <c r="H37" s="1"/>
      <c r="I37" s="1"/>
      <c r="J37" s="2"/>
    </row>
    <row r="38" spans="1:10">
      <c r="A38" t="s">
        <v>333</v>
      </c>
      <c r="B38" s="145"/>
      <c r="C38" s="146"/>
      <c r="D38" s="4" t="str">
        <f t="array" ref="D38">IF(OR(ISNUMBER(SEARCH(","&amp;$A38&amp;",",","&amp;WnSAssignmentHarbourCruise&amp;","))),"Y","-")</f>
        <v>-</v>
      </c>
      <c r="E38" s="5" t="str">
        <f t="array" ref="E38">IF(D38="Y",MAX(IF(ISNUMBER(SEARCH(CONCATENATE(",",$A38,","),CONCATENATE(",",WnSAssignmentHarbourCruise,","))),TaskRankRequirements)),"")</f>
        <v/>
      </c>
      <c r="F38" s="1"/>
      <c r="G38" s="1"/>
      <c r="H38" s="1"/>
      <c r="I38" s="1"/>
      <c r="J38" s="2"/>
    </row>
    <row r="39" spans="1:10">
      <c r="A39" t="s">
        <v>333</v>
      </c>
      <c r="B39" s="145"/>
      <c r="C39" s="146"/>
      <c r="D39" s="4" t="str">
        <f t="array" ref="D39">IF(OR(ISNUMBER(SEARCH(","&amp;$A39&amp;",",","&amp;WnSAssignmentHarbourCruise&amp;","))),"Y","-")</f>
        <v>-</v>
      </c>
      <c r="E39" s="5" t="str">
        <f t="array" ref="E39">IF(D39="Y",MAX(IF(ISNUMBER(SEARCH(CONCATENATE(",",$A39,","),CONCATENATE(",",WnSAssignmentHarbourCruise,","))),TaskRankRequirements)),"")</f>
        <v/>
      </c>
      <c r="F39" s="1"/>
      <c r="G39" s="1"/>
      <c r="H39" s="1"/>
      <c r="I39" s="1"/>
      <c r="J39" s="2"/>
    </row>
    <row r="40" spans="1:10">
      <c r="A40" t="s">
        <v>333</v>
      </c>
      <c r="B40" s="145"/>
      <c r="C40" s="146"/>
      <c r="D40" s="4" t="str">
        <f t="array" ref="D40">IF(OR(ISNUMBER(SEARCH(","&amp;$A40&amp;",",","&amp;WnSAssignmentHarbourCruise&amp;","))),"Y","-")</f>
        <v>-</v>
      </c>
      <c r="E40" s="5" t="str">
        <f t="array" ref="E40">IF(D40="Y",MAX(IF(ISNUMBER(SEARCH(CONCATENATE(",",$A40,","),CONCATENATE(",",WnSAssignmentHarbourCruise,","))),TaskRankRequirements)),"")</f>
        <v/>
      </c>
      <c r="F40" s="1"/>
      <c r="G40" s="1"/>
      <c r="H40" s="1"/>
      <c r="I40" s="1"/>
      <c r="J40" s="2"/>
    </row>
    <row r="41" spans="1:10">
      <c r="A41" t="s">
        <v>333</v>
      </c>
      <c r="B41" s="145"/>
      <c r="C41" s="146"/>
      <c r="D41" s="7" t="str">
        <f t="array" ref="D41">IF(OR(ISNUMBER(SEARCH(","&amp;$A41&amp;",",","&amp;WnSAssignmentHarbourCruise&amp;","))),"Y","-")</f>
        <v>-</v>
      </c>
      <c r="E41" s="6" t="str">
        <f t="array" ref="E41">IF(D41="Y",MAX(IF(ISNUMBER(SEARCH(CONCATENATE(",",$A41,","),CONCATENATE(",",WnSAssignmentHarbourCruise,","))),TaskRankRequirements)),"")</f>
        <v/>
      </c>
      <c r="F41" s="10"/>
      <c r="G41" s="10"/>
      <c r="H41" s="10"/>
      <c r="I41" s="10"/>
      <c r="J41" s="33"/>
    </row>
    <row r="42" spans="1:10">
      <c r="A42" t="s">
        <v>333</v>
      </c>
      <c r="B42" s="41"/>
      <c r="C42" s="47"/>
      <c r="D42" s="4" t="str">
        <f t="array" ref="D42">IF(OR(ISNUMBER(SEARCH(","&amp;$A42&amp;",",","&amp;WnSAssignmentHarbourCruise&amp;","))),"Y","-")</f>
        <v>-</v>
      </c>
      <c r="E42" s="5" t="str">
        <f t="array" ref="E42">IF(D42="Y",MAX(IF(ISNUMBER(SEARCH(CONCATENATE(",",$A42,","),CONCATENATE(",",WnSAssignmentHarbourCruise,","))),TaskRankRequirements)),"")</f>
        <v/>
      </c>
      <c r="F42" s="1"/>
      <c r="G42" s="1"/>
      <c r="H42" s="1"/>
      <c r="I42" s="1"/>
      <c r="J42" s="2"/>
    </row>
    <row r="43" spans="1:10">
      <c r="A43" t="s">
        <v>333</v>
      </c>
      <c r="B43" s="41"/>
      <c r="C43" s="47"/>
      <c r="D43" s="4" t="str">
        <f t="array" ref="D43">IF(OR(ISNUMBER(SEARCH(","&amp;$A43&amp;",",","&amp;WnSAssignmentHarbourCruise&amp;","))),"Y","-")</f>
        <v>-</v>
      </c>
      <c r="E43" s="5" t="str">
        <f t="array" ref="E43">IF(D43="Y",MAX(IF(ISNUMBER(SEARCH(CONCATENATE(",",$A43,","),CONCATENATE(",",WnSAssignmentHarbourCruise,","))),TaskRankRequirements)),"")</f>
        <v/>
      </c>
      <c r="F43" s="1"/>
      <c r="G43" s="1"/>
      <c r="H43" s="1"/>
      <c r="I43" s="1"/>
      <c r="J43" s="2"/>
    </row>
    <row r="44" spans="1:10">
      <c r="A44" t="s">
        <v>333</v>
      </c>
      <c r="B44" s="41"/>
      <c r="C44" s="47"/>
      <c r="D44" s="4" t="str">
        <f t="array" ref="D44">IF(OR(ISNUMBER(SEARCH(","&amp;$A44&amp;",",","&amp;WnSAssignmentHarbourCruise&amp;","))),"Y","-")</f>
        <v>-</v>
      </c>
      <c r="E44" s="5" t="str">
        <f t="array" ref="E44">IF(D44="Y",MAX(IF(ISNUMBER(SEARCH(CONCATENATE(",",$A44,","),CONCATENATE(",",WnSAssignmentHarbourCruise,","))),TaskRankRequirements)),"")</f>
        <v/>
      </c>
      <c r="F44" s="1"/>
      <c r="G44" s="1"/>
      <c r="H44" s="1"/>
      <c r="I44" s="1"/>
      <c r="J44" s="2"/>
    </row>
    <row r="45" spans="1:10">
      <c r="A45" t="s">
        <v>333</v>
      </c>
      <c r="B45" s="41"/>
      <c r="C45" s="47"/>
      <c r="D45" s="4" t="str">
        <f t="array" ref="D45">IF(OR(ISNUMBER(SEARCH(","&amp;$A45&amp;",",","&amp;WnSAssignmentHarbourCruise&amp;","))),"Y","-")</f>
        <v>-</v>
      </c>
      <c r="E45" s="5" t="str">
        <f t="array" ref="E45">IF(D45="Y",MAX(IF(ISNUMBER(SEARCH(CONCATENATE(",",$A45,","),CONCATENATE(",",WnSAssignmentHarbourCruise,","))),TaskRankRequirements)),"")</f>
        <v/>
      </c>
      <c r="F45" s="1"/>
      <c r="G45" s="1"/>
      <c r="H45" s="1"/>
      <c r="I45" s="1"/>
      <c r="J45" s="2"/>
    </row>
    <row r="46" spans="1:10">
      <c r="A46" t="s">
        <v>333</v>
      </c>
      <c r="B46" s="41"/>
      <c r="C46" s="47"/>
      <c r="D46" s="4" t="str">
        <f t="array" ref="D46">IF(OR(ISNUMBER(SEARCH(","&amp;$A46&amp;",",","&amp;WnSAssignmentHarbourCruise&amp;","))),"Y","-")</f>
        <v>-</v>
      </c>
      <c r="E46" s="5" t="str">
        <f t="array" ref="E46">IF(D46="Y",MAX(IF(ISNUMBER(SEARCH(CONCATENATE(",",$A46,","),CONCATENATE(",",WnSAssignmentHarbourCruise,","))),TaskRankRequirements)),"")</f>
        <v/>
      </c>
      <c r="F46" s="1"/>
      <c r="G46" s="1"/>
      <c r="H46" s="1"/>
      <c r="I46" s="1"/>
      <c r="J46" s="2"/>
    </row>
    <row r="47" spans="1:10">
      <c r="A47" t="s">
        <v>333</v>
      </c>
      <c r="B47" s="43"/>
      <c r="C47" s="43" t="s">
        <v>397</v>
      </c>
      <c r="D47" s="4" t="str">
        <f t="array" ref="D47">IF(OR(ISNUMBER(SEARCH(","&amp;$A47&amp;",",","&amp;WnSAssignmentHarbourCruise&amp;","))),"Y","-")</f>
        <v>-</v>
      </c>
      <c r="E47" s="5" t="str">
        <f t="array" ref="E47">IF(D47="Y",MAX(IF(ISNUMBER(SEARCH(CONCATENATE(",",$A47,","),CONCATENATE(",",WnSAssignmentHarbourCruise,","))),TaskRankRequirements)),"")</f>
        <v/>
      </c>
      <c r="F47" s="1"/>
      <c r="G47" s="1"/>
      <c r="H47" s="1"/>
      <c r="I47" s="1"/>
      <c r="J47" s="2"/>
    </row>
    <row r="48" spans="1:10">
      <c r="A48" t="s">
        <v>333</v>
      </c>
      <c r="B48" s="43"/>
      <c r="C48" s="43" t="s">
        <v>397</v>
      </c>
      <c r="D48" s="4" t="str">
        <f t="array" ref="D48">IF(OR(ISNUMBER(SEARCH(","&amp;$A48&amp;",",","&amp;WnSAssignmentHarbourCruise&amp;","))),"Y","-")</f>
        <v>-</v>
      </c>
      <c r="E48" s="5" t="str">
        <f t="array" ref="E48">IF(D48="Y",MAX(IF(ISNUMBER(SEARCH(CONCATENATE(",",$A48,","),CONCATENATE(",",WnSAssignmentHarbourCruise,","))),TaskRankRequirements)),"")</f>
        <v/>
      </c>
      <c r="F48" s="1"/>
      <c r="G48" s="1"/>
      <c r="H48" s="1"/>
      <c r="I48" s="1"/>
      <c r="J48" s="2"/>
    </row>
    <row r="49" spans="1:10">
      <c r="A49" t="s">
        <v>333</v>
      </c>
      <c r="B49" s="43"/>
      <c r="C49" s="43" t="s">
        <v>397</v>
      </c>
      <c r="D49" s="4" t="str">
        <f t="array" ref="D49">IF(OR(ISNUMBER(SEARCH(","&amp;$A49&amp;",",","&amp;WnSAssignmentHarbourCruise&amp;","))),"Y","-")</f>
        <v>-</v>
      </c>
      <c r="E49" s="5" t="str">
        <f t="array" ref="E49">IF(D49="Y",MAX(IF(ISNUMBER(SEARCH(CONCATENATE(",",$A49,","),CONCATENATE(",",WnSAssignmentHarbourCruise,","))),TaskRankRequirements)),"")</f>
        <v/>
      </c>
      <c r="F49" s="1"/>
      <c r="G49" s="1"/>
      <c r="H49" s="1"/>
      <c r="I49" s="1"/>
      <c r="J49" s="2"/>
    </row>
    <row r="50" spans="1:10">
      <c r="A50" t="s">
        <v>333</v>
      </c>
      <c r="B50" s="43"/>
      <c r="C50" s="43" t="s">
        <v>397</v>
      </c>
      <c r="D50" s="4" t="str">
        <f t="array" ref="D50">IF(OR(ISNUMBER(SEARCH(","&amp;$A50&amp;",",","&amp;WnSAssignmentHarbourCruise&amp;","))),"Y","-")</f>
        <v>-</v>
      </c>
      <c r="E50" s="5" t="str">
        <f t="array" ref="E50">IF(D50="Y",MAX(IF(ISNUMBER(SEARCH(CONCATENATE(",",$A50,","),CONCATENATE(",",WnSAssignmentHarbourCruise,","))),TaskRankRequirements)),"")</f>
        <v/>
      </c>
      <c r="F50" s="1"/>
      <c r="G50" s="1"/>
      <c r="H50" s="1"/>
      <c r="I50" s="1"/>
      <c r="J50" s="2"/>
    </row>
    <row r="51" spans="1:10">
      <c r="A51" t="s">
        <v>333</v>
      </c>
      <c r="B51" s="43"/>
      <c r="C51" s="68"/>
      <c r="D51" s="4" t="str">
        <f t="array" ref="D51">IF(OR(ISNUMBER(SEARCH(","&amp;$A51&amp;",",","&amp;WnSAssignmentHarbourCruise&amp;","))),"Y","-")</f>
        <v>-</v>
      </c>
      <c r="E51" s="5" t="str">
        <f t="array" ref="E51">IF(D51="Y",MAX(IF(ISNUMBER(SEARCH(CONCATENATE(",",$A51,","),CONCATENATE(",",WnSAssignmentHarbourCruise,","))),TaskRankRequirements)),"")</f>
        <v/>
      </c>
      <c r="F51" s="1"/>
      <c r="G51" s="1"/>
      <c r="H51" s="1"/>
      <c r="I51" s="1"/>
      <c r="J51" s="2"/>
    </row>
    <row r="52" spans="1:10">
      <c r="A52" t="s">
        <v>423</v>
      </c>
      <c r="B52" s="44"/>
      <c r="C52" s="74"/>
      <c r="D52" s="11" t="str">
        <f t="array" ref="D52">IF(OR(ISNUMBER(SEARCH(","&amp;$A52&amp;",",","&amp;WnSAssignmentHarbourCruise&amp;","))),"Y","-")</f>
        <v>-</v>
      </c>
      <c r="E52" s="12" t="str">
        <f t="array" ref="E52">IF(D52="Y",MAX(IF(ISNUMBER(SEARCH(CONCATENATE(",",$A52,","),CONCATENATE(",",WnSAssignmentHarbourCruise,","))),TaskRankRequirements)),"")</f>
        <v/>
      </c>
      <c r="F52" s="13"/>
      <c r="G52" s="13"/>
      <c r="H52" s="13"/>
      <c r="I52" s="13"/>
      <c r="J52" s="14"/>
    </row>
    <row r="53" spans="1:10">
      <c r="A53" t="s">
        <v>182</v>
      </c>
      <c r="B53" s="34" t="s">
        <v>43</v>
      </c>
      <c r="C53" s="34" t="s">
        <v>43</v>
      </c>
      <c r="D53" s="19" t="str">
        <f t="array" ref="D53">IF(OR(ISNUMBER(SEARCH(","&amp;$A53&amp;",",","&amp;WnSAssignmentHarbourCruise&amp;","))),"Y","-")</f>
        <v>Y</v>
      </c>
      <c r="E53" s="20">
        <f t="array" ref="E53">IF(D53="Y",MAX(IF(ISNUMBER(SEARCH(CONCATENATE(",",$A53,","),CONCATENATE(",",WnSAssignmentHarbourCruise,","))),TaskRankRequirements)),"")</f>
        <v>0</v>
      </c>
      <c r="F53" s="21" t="s">
        <v>402</v>
      </c>
      <c r="G53" s="21" t="s">
        <v>402</v>
      </c>
      <c r="H53" s="21" t="s">
        <v>402</v>
      </c>
      <c r="I53" s="21" t="s">
        <v>402</v>
      </c>
      <c r="J53" s="58"/>
    </row>
    <row r="54" spans="1:10">
      <c r="A54" t="s">
        <v>183</v>
      </c>
      <c r="B54" s="69" t="s">
        <v>404</v>
      </c>
      <c r="C54" s="69" t="s">
        <v>404</v>
      </c>
      <c r="D54" s="29" t="str">
        <f t="array" ref="D54">IF(OR(ISNUMBER(SEARCH(","&amp;$A54&amp;",",","&amp;WnSAssignmentHarbourCruise&amp;","))),"Y","-")</f>
        <v>Y</v>
      </c>
      <c r="E54" s="30">
        <f t="array" ref="E54">IF(D54="Y",MAX(IF(ISNUMBER(SEARCH(CONCATENATE(",",$A54,","),CONCATENATE(",",WnSAssignmentHarbourCruise,","))),TaskRankRequirements)),"")</f>
        <v>0</v>
      </c>
      <c r="F54" s="31" t="s">
        <v>400</v>
      </c>
      <c r="G54" s="31" t="s">
        <v>400</v>
      </c>
      <c r="H54" s="31" t="s">
        <v>400</v>
      </c>
      <c r="I54" s="31" t="s">
        <v>400</v>
      </c>
      <c r="J54" s="32"/>
    </row>
    <row r="55" spans="1:10">
      <c r="A55" t="s">
        <v>333</v>
      </c>
      <c r="B55" s="145" t="s">
        <v>405</v>
      </c>
      <c r="C55" s="145" t="s">
        <v>405</v>
      </c>
      <c r="D55" s="7" t="str">
        <f t="array" ref="D55">IF(OR(ISNUMBER(SEARCH(","&amp;$A55&amp;",",","&amp;WnSAssignmentHarbourCruise&amp;","))),"Y","-")</f>
        <v>-</v>
      </c>
      <c r="E55" s="6" t="str">
        <f t="array" ref="E55">IF(D55="Y",MAX(IF(ISNUMBER(SEARCH(CONCATENATE(",",$A55,","),CONCATENATE(",",WnSAssignmentHarbourCruise,","))),TaskRankRequirements)),"")</f>
        <v/>
      </c>
      <c r="F55" s="10"/>
      <c r="G55" s="10"/>
      <c r="H55" s="10"/>
      <c r="I55" s="10"/>
      <c r="J55" s="33"/>
    </row>
    <row r="56" spans="1:10">
      <c r="A56" t="s">
        <v>333</v>
      </c>
      <c r="B56" s="41" t="s">
        <v>405</v>
      </c>
      <c r="C56" s="41" t="s">
        <v>405</v>
      </c>
      <c r="D56" s="4" t="str">
        <f t="array" ref="D56">IF(OR(ISNUMBER(SEARCH(","&amp;$A56&amp;",",","&amp;WnSAssignmentHarbourCruise&amp;","))),"Y","-")</f>
        <v>-</v>
      </c>
      <c r="E56" s="5" t="str">
        <f t="array" ref="E56">IF(D56="Y",MAX(IF(ISNUMBER(SEARCH(CONCATENATE(",",$A56,","),CONCATENATE(",",WnSAssignmentHarbourCruise,","))),TaskRankRequirements)),"")</f>
        <v/>
      </c>
      <c r="F56" s="1"/>
      <c r="G56" s="1"/>
      <c r="H56" s="1"/>
      <c r="I56" s="1"/>
      <c r="J56" s="2"/>
    </row>
    <row r="57" spans="1:10">
      <c r="A57" t="s">
        <v>333</v>
      </c>
      <c r="B57" s="37"/>
      <c r="C57" s="48"/>
      <c r="D57" s="4" t="str">
        <f t="array" ref="D57">IF(OR(ISNUMBER(SEARCH(","&amp;$A57&amp;",",","&amp;WnSAssignmentHarbourCruise&amp;","))),"Y","-")</f>
        <v>-</v>
      </c>
      <c r="E57" s="5" t="str">
        <f t="array" ref="E57">IF(D57="Y",MAX(IF(ISNUMBER(SEARCH(CONCATENATE(",",$A57,","),CONCATENATE(",",WnSAssignmentHarbourCruise,","))),TaskRankRequirements)),"")</f>
        <v/>
      </c>
      <c r="F57" s="1"/>
      <c r="G57" s="1"/>
      <c r="H57" s="1"/>
      <c r="I57" s="1"/>
      <c r="J57" s="2"/>
    </row>
    <row r="58" spans="1:10">
      <c r="A58" t="s">
        <v>429</v>
      </c>
      <c r="B58" s="72"/>
      <c r="C58" s="73"/>
      <c r="D58" s="11" t="str">
        <f t="array" ref="D58">IF(OR(ISNUMBER(SEARCH(","&amp;$A58&amp;",",","&amp;WnSAssignmentHarbourCruise&amp;","))),"Y","-")</f>
        <v>-</v>
      </c>
      <c r="E58" s="12" t="str">
        <f t="array" ref="E58">IF(D58="Y",MAX(IF(ISNUMBER(SEARCH(CONCATENATE(",",$A58,","),CONCATENATE(",",WnSAssignmentHarbourCruise,","))),TaskRankRequirements)),"")</f>
        <v/>
      </c>
      <c r="F58" s="13"/>
      <c r="G58" s="13"/>
      <c r="H58" s="13"/>
      <c r="I58" s="13"/>
      <c r="J58" s="14"/>
    </row>
    <row r="59" spans="1:10">
      <c r="A59" t="s">
        <v>184</v>
      </c>
      <c r="B59" s="69" t="s">
        <v>407</v>
      </c>
      <c r="C59" s="69" t="s">
        <v>407</v>
      </c>
      <c r="D59" s="29" t="str">
        <f t="array" ref="D59">IF(OR(ISNUMBER(SEARCH(","&amp;$A59&amp;",",","&amp;WnSAssignmentHarbourCruise&amp;","))),"Y","-")</f>
        <v>Y</v>
      </c>
      <c r="E59" s="30">
        <f t="array" ref="E59">IF(D59="Y",MAX(IF(ISNUMBER(SEARCH(CONCATENATE(",",$A59,","),CONCATENATE(",",WnSAssignmentHarbourCruise,","))),TaskRankRequirements)),"")</f>
        <v>0</v>
      </c>
      <c r="F59" s="31" t="s">
        <v>408</v>
      </c>
      <c r="G59" s="31"/>
      <c r="H59" s="31" t="s">
        <v>409</v>
      </c>
      <c r="I59" s="31"/>
      <c r="J59" s="32"/>
    </row>
    <row r="60" spans="1:10">
      <c r="A60" t="s">
        <v>333</v>
      </c>
      <c r="B60" s="41"/>
      <c r="C60" s="41" t="s">
        <v>410</v>
      </c>
      <c r="D60" s="4" t="str">
        <f t="array" ref="D60">IF(OR(ISNUMBER(SEARCH(","&amp;$A60&amp;",",","&amp;WnSAssignmentHarbourCruise&amp;","))),"Y","-")</f>
        <v>-</v>
      </c>
      <c r="E60" s="5" t="str">
        <f t="array" ref="E60">IF(D60="Y",MAX(IF(ISNUMBER(SEARCH(CONCATENATE(",",$A60,","),CONCATENATE(",",WnSAssignmentHarbourCruise,","))),TaskRankRequirements)),"")</f>
        <v/>
      </c>
      <c r="F60" s="1"/>
      <c r="G60" s="1"/>
      <c r="H60" s="1"/>
      <c r="I60" s="1"/>
      <c r="J60" s="2"/>
    </row>
    <row r="61" spans="1:10">
      <c r="A61" t="s">
        <v>430</v>
      </c>
      <c r="B61" s="69" t="s">
        <v>412</v>
      </c>
      <c r="C61" s="69" t="s">
        <v>412</v>
      </c>
      <c r="D61" s="29" t="str">
        <f t="array" ref="D61">IF(OR(ISNUMBER(SEARCH(","&amp;$A61&amp;",",","&amp;WnSAssignmentHarbourCruise&amp;","))),"Y","-")</f>
        <v>Y</v>
      </c>
      <c r="E61" s="30">
        <f t="array" ref="E61">IF(D61="Y",MAX(IF(ISNUMBER(SEARCH(CONCATENATE(",",$A61,","),CONCATENATE(",",WnSAssignmentHarbourCruise,","))),TaskRankRequirements)),"")</f>
        <v>0</v>
      </c>
      <c r="F61" s="31"/>
      <c r="G61" s="31"/>
      <c r="H61" s="31" t="s">
        <v>413</v>
      </c>
      <c r="I61" s="31"/>
      <c r="J61" s="32"/>
    </row>
    <row r="62" spans="1:10">
      <c r="A62" t="s">
        <v>431</v>
      </c>
      <c r="B62" s="69" t="s">
        <v>412</v>
      </c>
      <c r="C62" s="69" t="s">
        <v>412</v>
      </c>
      <c r="D62" s="29" t="str">
        <f t="array" ref="D62">IF(OR(ISNUMBER(SEARCH(","&amp;$A62&amp;",",","&amp;WnSAssignmentHarbourCruise&amp;","))),"Y","-")</f>
        <v>Y</v>
      </c>
      <c r="E62" s="30">
        <f t="array" ref="E62">IF(D62="Y",MAX(IF(ISNUMBER(SEARCH(CONCATENATE(",",$A62,","),CONCATENATE(",",WnSAssignmentHarbourCruise,","))),TaskRankRequirements)),"")</f>
        <v>0</v>
      </c>
      <c r="F62" s="31"/>
      <c r="G62" s="31"/>
      <c r="H62" s="31" t="s">
        <v>413</v>
      </c>
      <c r="I62" s="31"/>
      <c r="J62" s="32"/>
    </row>
    <row r="63" spans="1:10">
      <c r="A63" t="s">
        <v>333</v>
      </c>
      <c r="B63" s="143"/>
      <c r="C63" s="143" t="s">
        <v>412</v>
      </c>
      <c r="D63" s="4" t="str">
        <f t="array" ref="D63">IF(OR(ISNUMBER(SEARCH(","&amp;$A63&amp;",",","&amp;WnSAssignmentHarbourCruise&amp;","))),"Y","-")</f>
        <v>-</v>
      </c>
      <c r="E63" s="5" t="str">
        <f t="array" ref="E63">IF(D63="Y",MAX(IF(ISNUMBER(SEARCH(CONCATENATE(",",$A63,","),CONCATENATE(",",WnSAssignmentHarbourCruise,","))),TaskRankRequirements)),"")</f>
        <v/>
      </c>
      <c r="F63" s="1"/>
      <c r="G63" s="1"/>
      <c r="H63" s="1"/>
      <c r="I63" s="1"/>
      <c r="J63" s="2"/>
    </row>
    <row r="64" spans="1:10">
      <c r="A64" t="s">
        <v>333</v>
      </c>
      <c r="B64" s="143"/>
      <c r="C64" s="143" t="s">
        <v>412</v>
      </c>
      <c r="D64" s="7" t="str">
        <f t="array" ref="D64">IF(OR(ISNUMBER(SEARCH(","&amp;$A64&amp;",",","&amp;WnSAssignmentHarbourCruise&amp;","))),"Y","-")</f>
        <v>-</v>
      </c>
      <c r="E64" s="6" t="str">
        <f t="array" ref="E64">IF(D64="Y",MAX(IF(ISNUMBER(SEARCH(CONCATENATE(",",$A64,","),CONCATENATE(",",WnSAssignmentHarbourCruise,","))),TaskRankRequirements)),"")</f>
        <v/>
      </c>
      <c r="F64" s="10"/>
      <c r="G64" s="10"/>
      <c r="H64" s="10"/>
      <c r="I64" s="10"/>
      <c r="J64" s="33"/>
    </row>
    <row r="65" spans="1:10">
      <c r="A65" t="s">
        <v>333</v>
      </c>
      <c r="B65" s="143"/>
      <c r="C65" s="143" t="s">
        <v>412</v>
      </c>
      <c r="D65" s="7" t="str">
        <f t="array" ref="D65">IF(OR(ISNUMBER(SEARCH(","&amp;$A65&amp;",",","&amp;WnSAssignmentHarbourCruise&amp;","))),"Y","-")</f>
        <v>-</v>
      </c>
      <c r="E65" s="6" t="str">
        <f t="array" ref="E65">IF(D65="Y",MAX(IF(ISNUMBER(SEARCH(CONCATENATE(",",$A65,","),CONCATENATE(",",WnSAssignmentHarbourCruise,","))),TaskRankRequirements)),"")</f>
        <v/>
      </c>
      <c r="F65" s="10"/>
      <c r="G65" s="10"/>
      <c r="H65" s="10"/>
      <c r="I65" s="10"/>
      <c r="J65" s="33"/>
    </row>
    <row r="66" spans="1:10">
      <c r="A66" t="s">
        <v>333</v>
      </c>
      <c r="B66" s="59"/>
      <c r="C66" s="59" t="s">
        <v>416</v>
      </c>
      <c r="D66" s="4" t="str">
        <f t="array" ref="D66">IF(OR(ISNUMBER(SEARCH(","&amp;$A66&amp;",",","&amp;WnSAssignmentHarbourCruise&amp;","))),"Y","-")</f>
        <v>-</v>
      </c>
      <c r="E66" s="5" t="str">
        <f t="array" ref="E66">IF(D66="Y",MAX(IF(ISNUMBER(SEARCH(CONCATENATE(",",$A66,","),CONCATENATE(",",WnSAssignmentHarbourCruise,","))),TaskRankRequirements)),"")</f>
        <v/>
      </c>
      <c r="F66" s="1"/>
      <c r="G66" s="1"/>
      <c r="H66" s="1"/>
      <c r="I66" s="1"/>
      <c r="J66" s="2"/>
    </row>
    <row r="67" spans="1:10">
      <c r="A67" s="10" t="s">
        <v>333</v>
      </c>
      <c r="B67" s="37"/>
      <c r="C67" s="37" t="s">
        <v>417</v>
      </c>
      <c r="D67" s="4" t="str">
        <f t="array" ref="D67">IF(OR(ISNUMBER(SEARCH(","&amp;$A67&amp;",",","&amp;WnSAssignmentHarbourCruise&amp;","))),"Y","-")</f>
        <v>-</v>
      </c>
      <c r="E67" s="5" t="str">
        <f t="array" ref="E67">IF(D67="Y",MAX(IF(ISNUMBER(SEARCH(CONCATENATE(",",$A67,","),CONCATENATE(",",WnSAssignmentHarbourCruise,","))),TaskRankRequirements)),"")</f>
        <v/>
      </c>
      <c r="F67" s="1"/>
      <c r="G67" s="1"/>
      <c r="H67" s="1"/>
      <c r="I67" s="1"/>
      <c r="J67" s="2"/>
    </row>
    <row r="68" spans="1:10">
      <c r="A68" s="10" t="s">
        <v>333</v>
      </c>
      <c r="B68" s="71"/>
      <c r="C68" s="71" t="s">
        <v>418</v>
      </c>
      <c r="D68" s="11" t="str">
        <f t="array" ref="D68">IF(OR(ISNUMBER(SEARCH(","&amp;$A68&amp;",",","&amp;WnSAssignmentHarbourCruise&amp;","))),"Y","-")</f>
        <v>-</v>
      </c>
      <c r="E68" s="12" t="str">
        <f t="array" ref="E68">IF(D68="Y",MAX(IF(ISNUMBER(SEARCH(CONCATENATE(",",$A68,","),CONCATENATE(",",WnSAssignmentHarbourCruise,","))),TaskRankRequirements)),"")</f>
        <v/>
      </c>
      <c r="F68" s="13"/>
      <c r="G68" s="13"/>
      <c r="H68" s="13"/>
      <c r="I68" s="13"/>
      <c r="J68" s="14"/>
    </row>
  </sheetData>
  <mergeCells count="2">
    <mergeCell ref="D1:J1"/>
    <mergeCell ref="F3:J3"/>
  </mergeCells>
  <conditionalFormatting sqref="A6:A10 A12:A51 A53:A57 A59:A68">
    <cfRule type="expression" dxfId="6" priority="1">
      <formula>A6=""</formula>
    </cfRule>
    <cfRule type="expression" dxfId="5" priority="2" stopIfTrue="1">
      <formula>A6=" "</formula>
    </cfRule>
    <cfRule type="duplicateValues" dxfId="4" priority="3"/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M68"/>
  <sheetViews>
    <sheetView tabSelected="1" workbookViewId="0">
      <pane xSplit="3" ySplit="4" topLeftCell="D5" activePane="bottomRight" state="frozenSplit"/>
      <selection pane="topRight" activeCell="D1" sqref="D1"/>
      <selection pane="bottomLeft" activeCell="A6" sqref="A6"/>
      <selection pane="bottomRight" activeCell="L30" sqref="L30"/>
    </sheetView>
  </sheetViews>
  <sheetFormatPr baseColWidth="10" defaultColWidth="11" defaultRowHeight="13" x14ac:dyDescent="0"/>
  <cols>
    <col min="2" max="2" width="20" bestFit="1" customWidth="1"/>
    <col min="3" max="3" width="16.5703125" customWidth="1"/>
    <col min="4" max="4" width="3" style="8" bestFit="1" customWidth="1"/>
    <col min="5" max="5" width="2" bestFit="1" customWidth="1"/>
    <col min="6" max="6" width="13.85546875" bestFit="1" customWidth="1"/>
    <col min="7" max="8" width="13.85546875" customWidth="1"/>
    <col min="9" max="9" width="12.140625" bestFit="1" customWidth="1"/>
    <col min="10" max="10" width="13.42578125" bestFit="1" customWidth="1"/>
    <col min="11" max="11" width="12.28515625" bestFit="1" customWidth="1"/>
    <col min="12" max="12" width="15.5703125" bestFit="1" customWidth="1"/>
  </cols>
  <sheetData>
    <row r="1" spans="1:13" ht="20">
      <c r="D1" s="82" t="s">
        <v>312</v>
      </c>
      <c r="E1" s="83"/>
      <c r="F1" s="83"/>
      <c r="G1" s="83"/>
      <c r="H1" s="83"/>
      <c r="I1" s="83"/>
      <c r="J1" s="83"/>
      <c r="K1" s="83"/>
      <c r="L1" s="83"/>
      <c r="M1" s="84"/>
    </row>
    <row r="2" spans="1:13">
      <c r="C2" s="9" t="s">
        <v>314</v>
      </c>
      <c r="D2" s="90">
        <f>COUNTIF(D6:D68,"Y")</f>
        <v>28</v>
      </c>
      <c r="E2" s="91"/>
      <c r="F2" s="1"/>
      <c r="G2" s="1"/>
      <c r="H2" s="1"/>
      <c r="I2" s="1"/>
      <c r="J2" s="1"/>
      <c r="K2" s="1"/>
      <c r="L2" s="1"/>
      <c r="M2" s="2"/>
    </row>
    <row r="3" spans="1:13">
      <c r="B3" s="9"/>
      <c r="C3" s="9"/>
      <c r="D3" s="4"/>
      <c r="E3" s="1"/>
      <c r="F3" s="85" t="s">
        <v>316</v>
      </c>
      <c r="G3" s="85"/>
      <c r="H3" s="85"/>
      <c r="I3" s="85"/>
      <c r="J3" s="85"/>
      <c r="K3" s="85"/>
      <c r="L3" s="85"/>
      <c r="M3" s="86"/>
    </row>
    <row r="4" spans="1:13">
      <c r="A4" t="s">
        <v>317</v>
      </c>
      <c r="B4" t="s">
        <v>318</v>
      </c>
      <c r="C4" t="s">
        <v>319</v>
      </c>
      <c r="D4" s="17"/>
      <c r="E4" s="18"/>
      <c r="F4" s="15" t="s">
        <v>320</v>
      </c>
      <c r="G4" s="15" t="s">
        <v>583</v>
      </c>
      <c r="H4" s="15" t="s">
        <v>323</v>
      </c>
      <c r="I4" s="15" t="s">
        <v>585</v>
      </c>
      <c r="J4" s="15" t="s">
        <v>234</v>
      </c>
      <c r="K4" s="15" t="s">
        <v>321</v>
      </c>
      <c r="L4" s="15" t="s">
        <v>41</v>
      </c>
      <c r="M4" s="16" t="s">
        <v>322</v>
      </c>
    </row>
    <row r="5" spans="1:13">
      <c r="A5" t="s">
        <v>419</v>
      </c>
      <c r="D5" s="17"/>
      <c r="E5" s="18"/>
      <c r="F5" s="79"/>
      <c r="G5" s="81"/>
      <c r="H5" s="81"/>
      <c r="I5" s="79"/>
      <c r="J5" s="79"/>
      <c r="K5" s="79"/>
      <c r="L5" s="81"/>
      <c r="M5" s="80"/>
    </row>
    <row r="6" spans="1:13">
      <c r="A6" t="s">
        <v>206</v>
      </c>
      <c r="B6" s="51" t="s">
        <v>325</v>
      </c>
      <c r="C6" s="62" t="s">
        <v>325</v>
      </c>
      <c r="D6" s="52" t="str">
        <f t="array" ref="D6">IF(OR(ISNUMBER(SEARCH(","&amp;$A6&amp;",",","&amp;WnSAssignmentDaySail&amp;","))),"Y","-")</f>
        <v>Y</v>
      </c>
      <c r="E6" s="54">
        <f t="array" ref="E6">IF(D6="Y",MAX(IF(ISNUMBER(SEARCH(CONCATENATE(",",$A6,","),CONCATENATE(",",WnSAssignmentDaySail,","))),TaskRankRequirements)),"")</f>
        <v>0</v>
      </c>
      <c r="F6" s="54" t="s">
        <v>326</v>
      </c>
      <c r="G6" s="54" t="s">
        <v>326</v>
      </c>
      <c r="H6" s="54" t="s">
        <v>586</v>
      </c>
      <c r="I6" s="54" t="s">
        <v>586</v>
      </c>
      <c r="J6" s="54" t="s">
        <v>326</v>
      </c>
      <c r="K6" s="53" t="s">
        <v>326</v>
      </c>
      <c r="L6" s="53"/>
      <c r="M6" s="78" t="s">
        <v>326</v>
      </c>
    </row>
    <row r="7" spans="1:13">
      <c r="A7" t="s">
        <v>190</v>
      </c>
      <c r="B7" s="35" t="s">
        <v>329</v>
      </c>
      <c r="C7" s="63" t="s">
        <v>329</v>
      </c>
      <c r="D7" s="19" t="str">
        <f t="array" ref="D7">IF(OR(ISNUMBER(SEARCH(","&amp;$A7&amp;",",","&amp;WnSAssignmentDaySail&amp;","))),"Y","-")</f>
        <v>Y</v>
      </c>
      <c r="E7" s="21">
        <f t="array" ref="E7">IF(D7="Y",MAX(IF(ISNUMBER(SEARCH(CONCATENATE(",",$A7,","),CONCATENATE(",",WnSAssignmentDaySail,","))),TaskRankRequirements)),"")</f>
        <v>5</v>
      </c>
      <c r="F7" s="21" t="s">
        <v>332</v>
      </c>
      <c r="G7" s="21" t="s">
        <v>332</v>
      </c>
      <c r="H7" s="21" t="s">
        <v>586</v>
      </c>
      <c r="I7" s="21" t="s">
        <v>586</v>
      </c>
      <c r="J7" s="21" t="s">
        <v>331</v>
      </c>
      <c r="K7" s="20" t="s">
        <v>332</v>
      </c>
      <c r="L7" s="20"/>
      <c r="M7" s="58"/>
    </row>
    <row r="8" spans="1:13">
      <c r="A8" s="10" t="s">
        <v>333</v>
      </c>
      <c r="B8" s="143" t="s">
        <v>334</v>
      </c>
      <c r="C8" s="144" t="s">
        <v>334</v>
      </c>
      <c r="D8" s="7" t="str">
        <f t="array" ref="D8">IF(OR(ISNUMBER(SEARCH(","&amp;$A8&amp;",",","&amp;WnSAssignmentDaySail&amp;","))),"Y","-")</f>
        <v>-</v>
      </c>
      <c r="E8" s="10" t="str">
        <f t="array" ref="E8">IF(D8="Y",MAX(IF(ISNUMBER(SEARCH(CONCATENATE(",",$A8,","),CONCATENATE(",",WnSAssignmentDaySail,","))),TaskRankRequirements)),"")</f>
        <v/>
      </c>
      <c r="F8" s="10"/>
      <c r="G8" s="10"/>
      <c r="H8" s="10"/>
      <c r="I8" s="10"/>
      <c r="J8" s="10"/>
      <c r="K8" s="10"/>
      <c r="L8" s="10"/>
      <c r="M8" s="33"/>
    </row>
    <row r="9" spans="1:13">
      <c r="A9" s="10" t="s">
        <v>333</v>
      </c>
      <c r="B9" s="37" t="s">
        <v>335</v>
      </c>
      <c r="C9" s="48" t="s">
        <v>335</v>
      </c>
      <c r="D9" s="4" t="str">
        <f t="array" ref="D9">IF(OR(ISNUMBER(SEARCH(","&amp;$A9&amp;",",","&amp;WnSAssignmentDaySail&amp;","))),"Y","-")</f>
        <v>-</v>
      </c>
      <c r="E9" s="5" t="str">
        <f t="array" ref="E9">IF(D9="Y",MAX(IF(ISNUMBER(SEARCH(CONCATENATE(",",$A9,","),CONCATENATE(",",WnSAssignmentDaySail,","))),TaskRankRequirements)),"")</f>
        <v/>
      </c>
      <c r="F9" s="1"/>
      <c r="G9" s="1"/>
      <c r="H9" s="1"/>
      <c r="I9" s="1"/>
      <c r="J9" s="1"/>
      <c r="K9" s="1"/>
      <c r="L9" s="1"/>
      <c r="M9" s="2"/>
    </row>
    <row r="10" spans="1:13">
      <c r="A10" s="10" t="s">
        <v>333</v>
      </c>
      <c r="B10" s="38" t="s">
        <v>336</v>
      </c>
      <c r="C10" s="64" t="s">
        <v>336</v>
      </c>
      <c r="D10" s="4" t="str">
        <f t="array" ref="D10">IF(OR(ISNUMBER(SEARCH(","&amp;$A10&amp;",",","&amp;WnSAssignmentDaySail&amp;","))),"Y","-")</f>
        <v>-</v>
      </c>
      <c r="E10" s="5" t="str">
        <f t="array" ref="E10">IF(D10="Y",MAX(IF(ISNUMBER(SEARCH(CONCATENATE(",",$A10,","),CONCATENATE(",",WnSAssignmentDaySail,","))),TaskRankRequirements)),"")</f>
        <v/>
      </c>
      <c r="F10" s="10"/>
      <c r="G10" s="10"/>
      <c r="H10" s="10"/>
      <c r="I10" s="10"/>
      <c r="J10" s="1"/>
      <c r="K10" s="1"/>
      <c r="L10" s="1"/>
      <c r="M10" s="2"/>
    </row>
    <row r="11" spans="1:13">
      <c r="A11" t="s">
        <v>420</v>
      </c>
      <c r="B11" s="76"/>
      <c r="C11" s="77"/>
      <c r="D11" s="11" t="str">
        <f t="array" ref="D11">IF(OR(ISNUMBER(SEARCH(","&amp;$A11&amp;",",","&amp;WnSAssignmentDaySail&amp;","))),"Y","-")</f>
        <v>-</v>
      </c>
      <c r="E11" s="12" t="str">
        <f t="array" ref="E11">IF(D11="Y",MAX(IF(ISNUMBER(SEARCH(CONCATENATE(",",$A11,","),CONCATENATE(",",WnSAssignmentDaySail,","))),TaskRankRequirements)),"")</f>
        <v/>
      </c>
      <c r="F11" s="75"/>
      <c r="G11" s="75"/>
      <c r="H11" s="75"/>
      <c r="I11" s="13"/>
      <c r="J11" s="13"/>
      <c r="K11" s="13"/>
      <c r="L11" s="13"/>
      <c r="M11" s="14"/>
    </row>
    <row r="12" spans="1:13">
      <c r="A12" t="s">
        <v>204</v>
      </c>
      <c r="B12" s="34" t="s">
        <v>44</v>
      </c>
      <c r="C12" s="65" t="s">
        <v>44</v>
      </c>
      <c r="D12" s="19" t="str">
        <f t="array" ref="D12">IF(OR(ISNUMBER(SEARCH(","&amp;$A12&amp;",",","&amp;WnSAssignmentDaySail&amp;","))),"Y","-")</f>
        <v>Y</v>
      </c>
      <c r="E12" s="21">
        <f t="array" ref="E12">IF(D12="Y",MAX(IF(ISNUMBER(SEARCH(CONCATENATE(",",$A12,","),CONCATENATE(",",WnSAssignmentDaySail,","))),TaskRankRequirements)),"")</f>
        <v>4</v>
      </c>
      <c r="F12" s="21" t="s">
        <v>241</v>
      </c>
      <c r="G12" s="21" t="s">
        <v>589</v>
      </c>
      <c r="H12" s="21" t="s">
        <v>589</v>
      </c>
      <c r="I12" s="21" t="s">
        <v>339</v>
      </c>
      <c r="J12" s="21" t="s">
        <v>339</v>
      </c>
      <c r="K12" s="20" t="s">
        <v>339</v>
      </c>
      <c r="L12" s="20" t="s">
        <v>605</v>
      </c>
      <c r="M12" s="58" t="s">
        <v>339</v>
      </c>
    </row>
    <row r="13" spans="1:13">
      <c r="A13" t="s">
        <v>432</v>
      </c>
      <c r="B13" s="34" t="s">
        <v>341</v>
      </c>
      <c r="C13" s="65" t="s">
        <v>342</v>
      </c>
      <c r="D13" s="19" t="str">
        <f t="array" ref="D13">IF(OR(ISNUMBER(SEARCH(","&amp;$A13&amp;",",","&amp;WnSAssignmentDaySail&amp;","))),"Y","-")</f>
        <v>Y</v>
      </c>
      <c r="E13" s="21">
        <f t="array" ref="E13">IF(D13="Y",MAX(IF(ISNUMBER(SEARCH(CONCATENATE(",",$A13,","),CONCATENATE(",",WnSAssignmentDaySail,","))),TaskRankRequirements)),"")</f>
        <v>4</v>
      </c>
      <c r="F13" s="21" t="s">
        <v>345</v>
      </c>
      <c r="G13" s="21" t="s">
        <v>587</v>
      </c>
      <c r="H13" s="21" t="s">
        <v>587</v>
      </c>
      <c r="I13" s="21" t="s">
        <v>346</v>
      </c>
      <c r="J13" s="21" t="s">
        <v>347</v>
      </c>
      <c r="K13" s="20" t="s">
        <v>348</v>
      </c>
      <c r="L13" s="20"/>
      <c r="M13" s="58"/>
    </row>
    <row r="14" spans="1:13">
      <c r="A14" t="s">
        <v>205</v>
      </c>
      <c r="B14" s="39" t="s">
        <v>341</v>
      </c>
      <c r="C14" s="66" t="s">
        <v>350</v>
      </c>
      <c r="D14" s="25" t="str">
        <f t="array" ref="D14">IF(OR(ISNUMBER(SEARCH(","&amp;$A14&amp;",",","&amp;WnSAssignmentDaySail&amp;","))),"Y","-")</f>
        <v>Y</v>
      </c>
      <c r="E14" s="26">
        <f t="array" ref="E14">IF(D14="Y",MAX(IF(ISNUMBER(SEARCH(CONCATENATE(",",$A14,","),CONCATENATE(",",WnSAssignmentDaySail,","))),TaskRankRequirements)),"")</f>
        <v>0</v>
      </c>
      <c r="F14" s="27" t="s">
        <v>343</v>
      </c>
      <c r="G14" s="27" t="s">
        <v>588</v>
      </c>
      <c r="H14" s="27" t="s">
        <v>588</v>
      </c>
      <c r="I14" s="27" t="s">
        <v>351</v>
      </c>
      <c r="J14" s="27" t="s">
        <v>351</v>
      </c>
      <c r="K14" s="27" t="s">
        <v>351</v>
      </c>
      <c r="L14" s="27"/>
      <c r="M14" s="28"/>
    </row>
    <row r="15" spans="1:13">
      <c r="A15" t="s">
        <v>333</v>
      </c>
      <c r="B15" s="145"/>
      <c r="C15" s="146"/>
      <c r="D15" s="7" t="str">
        <f t="array" ref="D15">IF(OR(ISNUMBER(SEARCH(","&amp;$A15&amp;",",","&amp;WnSAssignmentDaySail&amp;","))),"Y","-")</f>
        <v>-</v>
      </c>
      <c r="E15" s="10" t="str">
        <f t="array" ref="E15">IF(D15="Y",MAX(IF(ISNUMBER(SEARCH(CONCATENATE(",",$A15,","),CONCATENATE(",",WnSAssignmentDaySail,","))),TaskRankRequirements)),"")</f>
        <v/>
      </c>
      <c r="F15" s="10"/>
      <c r="G15" s="10"/>
      <c r="H15" s="10"/>
      <c r="I15" s="10"/>
      <c r="J15" s="10"/>
      <c r="K15" s="10"/>
      <c r="L15" s="10"/>
      <c r="M15" s="33"/>
    </row>
    <row r="16" spans="1:13">
      <c r="A16" t="s">
        <v>194</v>
      </c>
      <c r="B16" s="34" t="s">
        <v>354</v>
      </c>
      <c r="C16" s="65" t="s">
        <v>355</v>
      </c>
      <c r="D16" s="19" t="str">
        <f t="array" ref="D16">IF(OR(ISNUMBER(SEARCH(","&amp;$A16&amp;",",","&amp;WnSAssignmentDaySail&amp;","))),"Y","-")</f>
        <v>Y</v>
      </c>
      <c r="E16" s="21">
        <f t="array" ref="E16">IF(D16="Y",MAX(IF(ISNUMBER(SEARCH(CONCATENATE(",",$A16,","),CONCATENATE(",",WnSAssignmentDaySail,","))),TaskRankRequirements)),"")</f>
        <v>4</v>
      </c>
      <c r="F16" s="21"/>
      <c r="G16" s="21" t="s">
        <v>584</v>
      </c>
      <c r="H16" s="21"/>
      <c r="I16" s="21"/>
      <c r="J16" s="21" t="s">
        <v>344</v>
      </c>
      <c r="K16" s="20" t="s">
        <v>346</v>
      </c>
      <c r="L16" s="20"/>
      <c r="M16" s="58"/>
    </row>
    <row r="17" spans="1:13">
      <c r="A17" t="s">
        <v>191</v>
      </c>
      <c r="B17" s="39" t="s">
        <v>359</v>
      </c>
      <c r="C17" s="66" t="s">
        <v>360</v>
      </c>
      <c r="D17" s="25" t="str">
        <f t="array" ref="D17">IF(OR(ISNUMBER(SEARCH(","&amp;$A17&amp;",",","&amp;WnSAssignmentDaySail&amp;","))),"Y","-")</f>
        <v>Y</v>
      </c>
      <c r="E17" s="27">
        <f t="array" ref="E17">IF(D17="Y",MAX(IF(ISNUMBER(SEARCH(CONCATENATE(",",$A17,","),CONCATENATE(",",WnSAssignmentDaySail,","))),TaskRankRequirements)),"")</f>
        <v>1</v>
      </c>
      <c r="F17" s="27" t="s">
        <v>357</v>
      </c>
      <c r="G17" s="27"/>
      <c r="H17" s="27"/>
      <c r="I17" s="27" t="s">
        <v>361</v>
      </c>
      <c r="J17" s="27"/>
      <c r="K17" s="27" t="s">
        <v>362</v>
      </c>
      <c r="L17" s="27"/>
      <c r="M17" s="28"/>
    </row>
    <row r="18" spans="1:13">
      <c r="A18" t="s">
        <v>333</v>
      </c>
      <c r="B18" s="145"/>
      <c r="C18" s="146"/>
      <c r="D18" s="7" t="str">
        <f t="array" ref="D18">IF(OR(ISNUMBER(SEARCH(","&amp;$A18&amp;",",","&amp;WnSAssignmentDaySail&amp;","))),"Y","-")</f>
        <v>-</v>
      </c>
      <c r="E18" s="10" t="str">
        <f t="array" ref="E18">IF(D18="Y",MAX(IF(ISNUMBER(SEARCH(CONCATENATE(",",$A18,","),CONCATENATE(",",WnSAssignmentDaySail,","))),TaskRankRequirements)),"")</f>
        <v/>
      </c>
      <c r="F18" s="10"/>
      <c r="G18" s="10"/>
      <c r="H18" s="10"/>
      <c r="I18" s="10"/>
      <c r="J18" s="10"/>
      <c r="K18" s="10"/>
      <c r="L18" s="10"/>
      <c r="M18" s="33"/>
    </row>
    <row r="19" spans="1:13">
      <c r="A19" t="s">
        <v>333</v>
      </c>
      <c r="B19" s="145"/>
      <c r="C19" s="146"/>
      <c r="D19" s="7" t="str">
        <f t="array" ref="D19">IF(OR(ISNUMBER(SEARCH(","&amp;$A19&amp;",",","&amp;WnSAssignmentDaySail&amp;","))),"Y","-")</f>
        <v>-</v>
      </c>
      <c r="E19" s="10" t="str">
        <f t="array" ref="E19">IF(D19="Y",MAX(IF(ISNUMBER(SEARCH(CONCATENATE(",",$A19,","),CONCATENATE(",",WnSAssignmentDaySail,","))),TaskRankRequirements)),"")</f>
        <v/>
      </c>
      <c r="F19" s="10"/>
      <c r="G19" s="10"/>
      <c r="H19" s="10"/>
      <c r="I19" s="10"/>
      <c r="J19" s="10"/>
      <c r="K19" s="10"/>
      <c r="L19" s="10"/>
      <c r="M19" s="33"/>
    </row>
    <row r="20" spans="1:13">
      <c r="A20" t="s">
        <v>433</v>
      </c>
      <c r="B20" s="39" t="s">
        <v>364</v>
      </c>
      <c r="C20" s="66" t="s">
        <v>365</v>
      </c>
      <c r="D20" s="25" t="str">
        <f t="array" ref="D20">IF(OR(ISNUMBER(SEARCH(","&amp;$A20&amp;",",","&amp;WnSAssignmentDaySail&amp;","))),"Y","-")</f>
        <v>Y</v>
      </c>
      <c r="E20" s="27">
        <f t="array" ref="E20">IF(D20="Y",MAX(IF(ISNUMBER(SEARCH(CONCATENATE(",",$A20,","),CONCATENATE(",",WnSAssignmentDaySail,","))),TaskRankRequirements)),"")</f>
        <v>3</v>
      </c>
      <c r="F20" s="27"/>
      <c r="G20" s="27"/>
      <c r="H20" s="27"/>
      <c r="I20" s="27" t="s">
        <v>366</v>
      </c>
      <c r="J20" s="27" t="s">
        <v>366</v>
      </c>
      <c r="K20" s="27" t="s">
        <v>366</v>
      </c>
      <c r="L20" s="27"/>
      <c r="M20" s="28"/>
    </row>
    <row r="21" spans="1:13">
      <c r="A21" t="s">
        <v>434</v>
      </c>
      <c r="B21" s="39" t="s">
        <v>364</v>
      </c>
      <c r="C21" s="66"/>
      <c r="D21" s="25" t="str">
        <f t="array" ref="D21">IF(OR(ISNUMBER(SEARCH(","&amp;$A21&amp;",",","&amp;WnSAssignmentDaySail&amp;","))),"Y","-")</f>
        <v>Y</v>
      </c>
      <c r="E21" s="27">
        <f t="array" ref="E21">IF(D21="Y",MAX(IF(ISNUMBER(SEARCH(CONCATENATE(",",$A21,","),CONCATENATE(",",WnSAssignmentDaySail,","))),TaskRankRequirements)),"")</f>
        <v>3</v>
      </c>
      <c r="F21" s="27"/>
      <c r="G21" s="27" t="s">
        <v>591</v>
      </c>
      <c r="H21" s="27" t="s">
        <v>590</v>
      </c>
      <c r="I21" s="27" t="s">
        <v>361</v>
      </c>
      <c r="J21" s="27" t="s">
        <v>361</v>
      </c>
      <c r="K21" s="27" t="s">
        <v>368</v>
      </c>
      <c r="L21" s="27"/>
      <c r="M21" s="28"/>
    </row>
    <row r="22" spans="1:13">
      <c r="A22" t="s">
        <v>435</v>
      </c>
      <c r="B22" s="39" t="s">
        <v>364</v>
      </c>
      <c r="C22" s="66"/>
      <c r="D22" s="25" t="str">
        <f t="array" ref="D22">IF(OR(ISNUMBER(SEARCH(","&amp;$A22&amp;",",","&amp;WnSAssignmentDaySail&amp;","))),"Y","-")</f>
        <v>Y</v>
      </c>
      <c r="E22" s="27">
        <f t="array" ref="E22">IF(D22="Y",MAX(IF(ISNUMBER(SEARCH(CONCATENATE(",",$A22,","),CONCATENATE(",",WnSAssignmentDaySail,","))),TaskRankRequirements)),"")</f>
        <v>3</v>
      </c>
      <c r="F22" s="27"/>
      <c r="G22" s="27" t="s">
        <v>591</v>
      </c>
      <c r="H22" s="27" t="s">
        <v>590</v>
      </c>
      <c r="I22" s="27" t="s">
        <v>366</v>
      </c>
      <c r="J22" s="27" t="s">
        <v>366</v>
      </c>
      <c r="K22" s="27" t="s">
        <v>366</v>
      </c>
      <c r="L22" s="27"/>
      <c r="M22" s="28"/>
    </row>
    <row r="23" spans="1:13">
      <c r="A23" t="s">
        <v>333</v>
      </c>
      <c r="B23" s="145"/>
      <c r="C23" s="146"/>
      <c r="D23" s="7" t="str">
        <f t="array" ref="D23">IF(OR(ISNUMBER(SEARCH(","&amp;$A23&amp;",",","&amp;WnSAssignmentDaySail&amp;","))),"Y","-")</f>
        <v>-</v>
      </c>
      <c r="E23" s="10" t="str">
        <f t="array" ref="E23">IF(D23="Y",MAX(IF(ISNUMBER(SEARCH(CONCATENATE(",",$A23,","),CONCATENATE(",",WnSAssignmentDaySail,","))),TaskRankRequirements)),"")</f>
        <v/>
      </c>
      <c r="F23" s="10"/>
      <c r="G23" s="10"/>
      <c r="H23" s="10"/>
      <c r="I23" s="10"/>
      <c r="J23" s="10"/>
      <c r="K23" s="10"/>
      <c r="L23" s="10"/>
      <c r="M23" s="33"/>
    </row>
    <row r="24" spans="1:13">
      <c r="A24" t="s">
        <v>333</v>
      </c>
      <c r="B24" s="145"/>
      <c r="C24" s="146"/>
      <c r="D24" s="7" t="str">
        <f t="array" ref="D24">IF(OR(ISNUMBER(SEARCH(","&amp;$A24&amp;",",","&amp;WnSAssignmentDaySail&amp;","))),"Y","-")</f>
        <v>-</v>
      </c>
      <c r="E24" s="10" t="str">
        <f t="array" ref="E24">IF(D24="Y",MAX(IF(ISNUMBER(SEARCH(CONCATENATE(",",$A24,","),CONCATENATE(",",WnSAssignmentDaySail,","))),TaskRankRequirements)),"")</f>
        <v/>
      </c>
      <c r="F24" s="10"/>
      <c r="G24" s="10"/>
      <c r="H24" s="10"/>
      <c r="I24" s="10"/>
      <c r="J24" s="10"/>
      <c r="K24" s="10"/>
      <c r="L24" s="10"/>
      <c r="M24" s="33"/>
    </row>
    <row r="25" spans="1:13">
      <c r="A25" t="s">
        <v>333</v>
      </c>
      <c r="B25" s="41"/>
      <c r="C25" s="47"/>
      <c r="D25" s="4" t="str">
        <f t="array" ref="D25">IF(OR(ISNUMBER(SEARCH(","&amp;$A25&amp;",",","&amp;WnSAssignmentDaySail&amp;","))),"Y","-")</f>
        <v>-</v>
      </c>
      <c r="E25" s="1" t="str">
        <f t="array" ref="E25">IF(D25="Y",MAX(IF(ISNUMBER(SEARCH(CONCATENATE(",",$A25,","),CONCATENATE(",",WnSAssignmentDaySail,","))),TaskRankRequirements)),"")</f>
        <v/>
      </c>
      <c r="F25" s="1"/>
      <c r="G25" s="1"/>
      <c r="H25" s="1"/>
      <c r="I25" s="1"/>
      <c r="J25" s="1"/>
      <c r="K25" s="1"/>
      <c r="L25" s="1"/>
      <c r="M25" s="2"/>
    </row>
    <row r="26" spans="1:13">
      <c r="A26" t="s">
        <v>333</v>
      </c>
      <c r="B26" s="41"/>
      <c r="C26" s="47"/>
      <c r="D26" s="4" t="str">
        <f t="array" ref="D26">IF(OR(ISNUMBER(SEARCH(","&amp;$A26&amp;",",","&amp;WnSAssignmentDaySail&amp;","))),"Y","-")</f>
        <v>-</v>
      </c>
      <c r="E26" s="1" t="str">
        <f t="array" ref="E26">IF(D26="Y",MAX(IF(ISNUMBER(SEARCH(CONCATENATE(",",$A26,","),CONCATENATE(",",WnSAssignmentDaySail,","))),TaskRankRequirements)),"")</f>
        <v/>
      </c>
      <c r="F26" s="1"/>
      <c r="G26" s="1"/>
      <c r="H26" s="1"/>
      <c r="I26" s="1"/>
      <c r="J26" s="1"/>
      <c r="K26" s="1"/>
      <c r="L26" s="1"/>
      <c r="M26" s="2"/>
    </row>
    <row r="27" spans="1:13">
      <c r="A27" t="s">
        <v>200</v>
      </c>
      <c r="B27" s="34" t="s">
        <v>371</v>
      </c>
      <c r="C27" s="65"/>
      <c r="D27" s="19" t="str">
        <f t="array" ref="D27">IF(OR(ISNUMBER(SEARCH(","&amp;$A27&amp;",",","&amp;WnSAssignmentDaySail&amp;","))),"Y","-")</f>
        <v>Y</v>
      </c>
      <c r="E27" s="20">
        <f t="array" ref="E27">IF(D27="Y",MAX(IF(ISNUMBER(SEARCH(CONCATENATE(",",$A27,","),CONCATENATE(",",WnSAssignmentDaySail,","))),TaskRankRequirements)),"")</f>
        <v>1</v>
      </c>
      <c r="F27" s="21" t="s">
        <v>372</v>
      </c>
      <c r="G27" s="21" t="s">
        <v>591</v>
      </c>
      <c r="H27" s="21" t="s">
        <v>590</v>
      </c>
      <c r="I27" s="21" t="s">
        <v>361</v>
      </c>
      <c r="J27" s="21" t="s">
        <v>373</v>
      </c>
      <c r="K27" s="21" t="s">
        <v>374</v>
      </c>
      <c r="L27" s="21"/>
      <c r="M27" s="58"/>
    </row>
    <row r="28" spans="1:13">
      <c r="A28" t="s">
        <v>203</v>
      </c>
      <c r="B28" s="34" t="s">
        <v>371</v>
      </c>
      <c r="C28" s="65"/>
      <c r="D28" s="19" t="str">
        <f t="array" ref="D28">IF(OR(ISNUMBER(SEARCH(","&amp;$A28&amp;",",","&amp;WnSAssignmentDaySail&amp;","))),"Y","-")</f>
        <v>Y</v>
      </c>
      <c r="E28" s="20">
        <f t="array" ref="E28">IF(D28="Y",MAX(IF(ISNUMBER(SEARCH(CONCATENATE(",",$A28,","),CONCATENATE(",",WnSAssignmentDaySail,","))),TaskRankRequirements)),"")</f>
        <v>1</v>
      </c>
      <c r="F28" s="21" t="s">
        <v>372</v>
      </c>
      <c r="G28" s="21" t="s">
        <v>591</v>
      </c>
      <c r="H28" s="21" t="s">
        <v>590</v>
      </c>
      <c r="I28" s="21" t="s">
        <v>361</v>
      </c>
      <c r="J28" s="21" t="s">
        <v>376</v>
      </c>
      <c r="K28" s="21" t="s">
        <v>374</v>
      </c>
      <c r="L28" s="21"/>
      <c r="M28" s="58"/>
    </row>
    <row r="29" spans="1:13">
      <c r="A29" t="s">
        <v>201</v>
      </c>
      <c r="B29" s="34" t="s">
        <v>371</v>
      </c>
      <c r="C29" s="65"/>
      <c r="D29" s="19" t="str">
        <f t="array" ref="D29">IF(OR(ISNUMBER(SEARCH(","&amp;$A29&amp;",",","&amp;WnSAssignmentDaySail&amp;","))),"Y","-")</f>
        <v>Y</v>
      </c>
      <c r="E29" s="20">
        <f t="array" ref="E29">IF(D29="Y",MAX(IF(ISNUMBER(SEARCH(CONCATENATE(",",$A29,","),CONCATENATE(",",WnSAssignmentDaySail,","))),TaskRankRequirements)),"")</f>
        <v>1</v>
      </c>
      <c r="F29" s="21" t="s">
        <v>378</v>
      </c>
      <c r="G29" s="21" t="s">
        <v>591</v>
      </c>
      <c r="H29" s="21" t="s">
        <v>590</v>
      </c>
      <c r="I29" s="21" t="s">
        <v>366</v>
      </c>
      <c r="J29" s="21" t="s">
        <v>379</v>
      </c>
      <c r="K29" s="21" t="s">
        <v>374</v>
      </c>
      <c r="L29" s="21"/>
      <c r="M29" s="58"/>
    </row>
    <row r="30" spans="1:13">
      <c r="A30" t="s">
        <v>202</v>
      </c>
      <c r="B30" s="34" t="s">
        <v>371</v>
      </c>
      <c r="C30" s="65"/>
      <c r="D30" s="19" t="str">
        <f t="array" ref="D30">IF(OR(ISNUMBER(SEARCH(","&amp;$A30&amp;",",","&amp;WnSAssignmentDaySail&amp;","))),"Y","-")</f>
        <v>Y</v>
      </c>
      <c r="E30" s="20">
        <f t="array" ref="E30">IF(D30="Y",MAX(IF(ISNUMBER(SEARCH(CONCATENATE(",",$A30,","),CONCATENATE(",",WnSAssignmentDaySail,","))),TaskRankRequirements)),"")</f>
        <v>1</v>
      </c>
      <c r="F30" s="21" t="s">
        <v>378</v>
      </c>
      <c r="G30" s="21" t="s">
        <v>591</v>
      </c>
      <c r="H30" s="21" t="s">
        <v>590</v>
      </c>
      <c r="I30" s="21" t="s">
        <v>366</v>
      </c>
      <c r="J30" s="21" t="s">
        <v>381</v>
      </c>
      <c r="K30" s="21" t="s">
        <v>374</v>
      </c>
      <c r="L30" s="21"/>
      <c r="M30" s="58"/>
    </row>
    <row r="31" spans="1:13">
      <c r="A31" t="s">
        <v>188</v>
      </c>
      <c r="B31" s="42" t="s">
        <v>383</v>
      </c>
      <c r="C31" s="67" t="s">
        <v>384</v>
      </c>
      <c r="D31" s="29" t="str">
        <f t="array" ref="D31">IF(OR(ISNUMBER(SEARCH(","&amp;$A31&amp;",",","&amp;WnSAssignmentDaySail&amp;","))),"Y","-")</f>
        <v>Y</v>
      </c>
      <c r="E31" s="30">
        <f t="array" ref="E31">IF(D31="Y",MAX(IF(ISNUMBER(SEARCH(CONCATENATE(",",$A31,","),CONCATENATE(",",WnSAssignmentDaySail,","))),TaskRankRequirements)),"")</f>
        <v>1</v>
      </c>
      <c r="F31" s="31" t="s">
        <v>356</v>
      </c>
      <c r="G31" s="31" t="s">
        <v>356</v>
      </c>
      <c r="H31" s="31" t="s">
        <v>590</v>
      </c>
      <c r="I31" s="31" t="s">
        <v>356</v>
      </c>
      <c r="J31" s="31" t="s">
        <v>356</v>
      </c>
      <c r="K31" s="31" t="s">
        <v>356</v>
      </c>
      <c r="L31" s="31"/>
      <c r="M31" s="32" t="s">
        <v>356</v>
      </c>
    </row>
    <row r="32" spans="1:13">
      <c r="A32" t="s">
        <v>193</v>
      </c>
      <c r="B32" s="42" t="s">
        <v>383</v>
      </c>
      <c r="C32" s="67" t="s">
        <v>386</v>
      </c>
      <c r="D32" s="29" t="str">
        <f t="array" ref="D32">IF(OR(ISNUMBER(SEARCH(","&amp;$A32&amp;",",","&amp;WnSAssignmentDaySail&amp;","))),"Y","-")</f>
        <v>Y</v>
      </c>
      <c r="E32" s="30">
        <f t="array" ref="E32">IF(D32="Y",MAX(IF(ISNUMBER(SEARCH(CONCATENATE(",",$A32,","),CONCATENATE(",",WnSAssignmentDaySail,","))),TaskRankRequirements)),"")</f>
        <v>1</v>
      </c>
      <c r="F32" s="31" t="s">
        <v>372</v>
      </c>
      <c r="G32" s="31" t="s">
        <v>591</v>
      </c>
      <c r="H32" s="31" t="s">
        <v>590</v>
      </c>
      <c r="I32" s="31" t="s">
        <v>361</v>
      </c>
      <c r="J32" s="31" t="s">
        <v>361</v>
      </c>
      <c r="K32" s="31" t="s">
        <v>386</v>
      </c>
      <c r="L32" s="31"/>
      <c r="M32" s="32"/>
    </row>
    <row r="33" spans="1:13">
      <c r="A33" t="s">
        <v>436</v>
      </c>
      <c r="B33" s="42" t="s">
        <v>383</v>
      </c>
      <c r="C33" s="67"/>
      <c r="D33" s="29" t="str">
        <f t="array" ref="D33">IF(OR(ISNUMBER(SEARCH(","&amp;$A33&amp;",",","&amp;WnSAssignmentDaySail&amp;","))),"Y","-")</f>
        <v>Y</v>
      </c>
      <c r="E33" s="30">
        <f t="array" ref="E33">IF(D33="Y",MAX(IF(ISNUMBER(SEARCH(CONCATENATE(",",$A33,","),CONCATENATE(",",WnSAssignmentDaySail,","))),TaskRankRequirements)),"")</f>
        <v>1</v>
      </c>
      <c r="F33" s="31" t="s">
        <v>378</v>
      </c>
      <c r="G33" s="31" t="s">
        <v>591</v>
      </c>
      <c r="H33" s="31" t="s">
        <v>590</v>
      </c>
      <c r="I33" s="31" t="s">
        <v>366</v>
      </c>
      <c r="J33" s="31" t="s">
        <v>366</v>
      </c>
      <c r="K33" s="31" t="s">
        <v>366</v>
      </c>
      <c r="L33" s="31"/>
      <c r="M33" s="32"/>
    </row>
    <row r="34" spans="1:13">
      <c r="A34" t="s">
        <v>197</v>
      </c>
      <c r="B34" s="42" t="s">
        <v>383</v>
      </c>
      <c r="C34" s="67"/>
      <c r="D34" s="29" t="str">
        <f t="array" ref="D34">IF(OR(ISNUMBER(SEARCH(","&amp;$A34&amp;",",","&amp;WnSAssignmentDaySail&amp;","))),"Y","-")</f>
        <v>Y</v>
      </c>
      <c r="E34" s="30">
        <f t="array" ref="E34">IF(D34="Y",MAX(IF(ISNUMBER(SEARCH(CONCATENATE(",",$A34,","),CONCATENATE(",",WnSAssignmentDaySail,","))),TaskRankRequirements)),"")</f>
        <v>2</v>
      </c>
      <c r="F34" s="31" t="s">
        <v>389</v>
      </c>
      <c r="G34" s="31" t="s">
        <v>591</v>
      </c>
      <c r="H34" s="31" t="s">
        <v>590</v>
      </c>
      <c r="I34" s="31" t="s">
        <v>361</v>
      </c>
      <c r="J34" s="31" t="s">
        <v>361</v>
      </c>
      <c r="K34" s="31" t="s">
        <v>361</v>
      </c>
      <c r="L34" s="31"/>
      <c r="M34" s="32"/>
    </row>
    <row r="35" spans="1:13">
      <c r="A35" t="s">
        <v>198</v>
      </c>
      <c r="B35" s="42" t="s">
        <v>383</v>
      </c>
      <c r="C35" s="67"/>
      <c r="D35" s="29" t="str">
        <f t="array" ref="D35">IF(OR(ISNUMBER(SEARCH(","&amp;$A35&amp;",",","&amp;WnSAssignmentDaySail&amp;","))),"Y","-")</f>
        <v>Y</v>
      </c>
      <c r="E35" s="30">
        <f t="array" ref="E35">IF(D35="Y",MAX(IF(ISNUMBER(SEARCH(CONCATENATE(",",$A35,","),CONCATENATE(",",WnSAssignmentDaySail,","))),TaskRankRequirements)),"")</f>
        <v>2</v>
      </c>
      <c r="F35" s="31" t="s">
        <v>389</v>
      </c>
      <c r="G35" s="31" t="s">
        <v>591</v>
      </c>
      <c r="H35" s="31" t="s">
        <v>590</v>
      </c>
      <c r="I35" s="31" t="s">
        <v>366</v>
      </c>
      <c r="J35" s="31" t="s">
        <v>366</v>
      </c>
      <c r="K35" s="31" t="s">
        <v>366</v>
      </c>
      <c r="L35" s="31"/>
      <c r="M35" s="32"/>
    </row>
    <row r="36" spans="1:13">
      <c r="A36" t="s">
        <v>189</v>
      </c>
      <c r="B36" s="42" t="s">
        <v>383</v>
      </c>
      <c r="C36" s="67" t="s">
        <v>392</v>
      </c>
      <c r="D36" s="29" t="str">
        <f t="array" ref="D36">IF(OR(ISNUMBER(SEARCH(","&amp;$A36&amp;",",","&amp;WnSAssignmentDaySail&amp;","))),"Y","-")</f>
        <v>Y</v>
      </c>
      <c r="E36" s="30">
        <f t="array" ref="E36">IF(D36="Y",MAX(IF(ISNUMBER(SEARCH(CONCATENATE(",",$A36,","),CONCATENATE(",",WnSAssignmentDaySail,","))),TaskRankRequirements)),"")</f>
        <v>1</v>
      </c>
      <c r="F36" s="31" t="s">
        <v>392</v>
      </c>
      <c r="G36" s="31" t="s">
        <v>591</v>
      </c>
      <c r="H36" s="31" t="s">
        <v>590</v>
      </c>
      <c r="I36" s="31" t="s">
        <v>392</v>
      </c>
      <c r="J36" s="31" t="s">
        <v>392</v>
      </c>
      <c r="K36" s="31" t="s">
        <v>392</v>
      </c>
      <c r="L36" s="31"/>
      <c r="M36" s="32"/>
    </row>
    <row r="37" spans="1:13">
      <c r="A37" t="s">
        <v>437</v>
      </c>
      <c r="B37" s="39" t="s">
        <v>383</v>
      </c>
      <c r="C37" s="66"/>
      <c r="D37" s="25" t="str">
        <f t="array" ref="D37">IF(OR(ISNUMBER(SEARCH(","&amp;$A37&amp;",",","&amp;WnSAssignmentDaySail&amp;","))),"Y","-")</f>
        <v>-</v>
      </c>
      <c r="E37" s="27" t="str">
        <f t="array" ref="E37">IF(D37="Y",MAX(IF(ISNUMBER(SEARCH(CONCATENATE(",",$A37,","),CONCATENATE(",",WnSAssignmentDaySail,","))),TaskRankRequirements)),"")</f>
        <v/>
      </c>
      <c r="F37" s="27"/>
      <c r="G37" s="27"/>
      <c r="H37" s="27"/>
      <c r="I37" s="27" t="s">
        <v>361</v>
      </c>
      <c r="J37" s="27" t="s">
        <v>361</v>
      </c>
      <c r="K37" s="27" t="s">
        <v>361</v>
      </c>
      <c r="L37" s="27"/>
      <c r="M37" s="28"/>
    </row>
    <row r="38" spans="1:13">
      <c r="A38" t="s">
        <v>438</v>
      </c>
      <c r="B38" s="39" t="s">
        <v>383</v>
      </c>
      <c r="C38" s="66"/>
      <c r="D38" s="25" t="str">
        <f t="array" ref="D38">IF(OR(ISNUMBER(SEARCH(","&amp;$A38&amp;",",","&amp;WnSAssignmentDaySail&amp;","))),"Y","-")</f>
        <v>-</v>
      </c>
      <c r="E38" s="27" t="str">
        <f t="array" ref="E38">IF(D38="Y",MAX(IF(ISNUMBER(SEARCH(CONCATENATE(",",$A38,","),CONCATENATE(",",WnSAssignmentDaySail,","))),TaskRankRequirements)),"")</f>
        <v/>
      </c>
      <c r="F38" s="27"/>
      <c r="G38" s="27"/>
      <c r="H38" s="27"/>
      <c r="I38" s="27" t="s">
        <v>366</v>
      </c>
      <c r="J38" s="27" t="s">
        <v>366</v>
      </c>
      <c r="K38" s="27" t="s">
        <v>366</v>
      </c>
      <c r="L38" s="27"/>
      <c r="M38" s="28"/>
    </row>
    <row r="39" spans="1:13">
      <c r="A39" t="s">
        <v>439</v>
      </c>
      <c r="B39" s="39" t="s">
        <v>383</v>
      </c>
      <c r="C39" s="66"/>
      <c r="D39" s="25" t="str">
        <f t="array" ref="D39">IF(OR(ISNUMBER(SEARCH(","&amp;$A39&amp;",",","&amp;WnSAssignmentDaySail&amp;","))),"Y","-")</f>
        <v>-</v>
      </c>
      <c r="E39" s="27" t="str">
        <f t="array" ref="E39">IF(D39="Y",MAX(IF(ISNUMBER(SEARCH(CONCATENATE(",",$A39,","),CONCATENATE(",",WnSAssignmentDaySail,","))),TaskRankRequirements)),"")</f>
        <v/>
      </c>
      <c r="F39" s="27"/>
      <c r="G39" s="27"/>
      <c r="H39" s="27"/>
      <c r="I39" s="27" t="s">
        <v>361</v>
      </c>
      <c r="J39" s="27" t="s">
        <v>361</v>
      </c>
      <c r="K39" s="27" t="s">
        <v>361</v>
      </c>
      <c r="L39" s="27"/>
      <c r="M39" s="28"/>
    </row>
    <row r="40" spans="1:13">
      <c r="A40" t="s">
        <v>440</v>
      </c>
      <c r="B40" s="39" t="s">
        <v>383</v>
      </c>
      <c r="C40" s="66"/>
      <c r="D40" s="25" t="str">
        <f t="array" ref="D40">IF(OR(ISNUMBER(SEARCH(","&amp;$A40&amp;",",","&amp;WnSAssignmentDaySail&amp;","))),"Y","-")</f>
        <v>-</v>
      </c>
      <c r="E40" s="27" t="str">
        <f t="array" ref="E40">IF(D40="Y",MAX(IF(ISNUMBER(SEARCH(CONCATENATE(",",$A40,","),CONCATENATE(",",WnSAssignmentDaySail,","))),TaskRankRequirements)),"")</f>
        <v/>
      </c>
      <c r="F40" s="27"/>
      <c r="G40" s="27"/>
      <c r="H40" s="27"/>
      <c r="I40" s="27" t="s">
        <v>366</v>
      </c>
      <c r="J40" s="27" t="s">
        <v>366</v>
      </c>
      <c r="K40" s="27" t="s">
        <v>366</v>
      </c>
      <c r="L40" s="27"/>
      <c r="M40" s="28"/>
    </row>
    <row r="41" spans="1:13">
      <c r="A41" t="s">
        <v>333</v>
      </c>
      <c r="B41" s="145"/>
      <c r="C41" s="146"/>
      <c r="D41" s="7" t="str">
        <f t="array" ref="D41">IF(OR(ISNUMBER(SEARCH(","&amp;$A41&amp;",",","&amp;WnSAssignmentDaySail&amp;","))),"Y","-")</f>
        <v>-</v>
      </c>
      <c r="E41" s="10" t="str">
        <f t="array" ref="E41">IF(D41="Y",MAX(IF(ISNUMBER(SEARCH(CONCATENATE(",",$A41,","),CONCATENATE(",",WnSAssignmentDaySail,","))),TaskRankRequirements)),"")</f>
        <v/>
      </c>
      <c r="F41" s="10"/>
      <c r="G41" s="10"/>
      <c r="H41" s="10"/>
      <c r="I41" s="10"/>
      <c r="J41" s="10"/>
      <c r="K41" s="10"/>
      <c r="L41" s="10"/>
      <c r="M41" s="33"/>
    </row>
    <row r="42" spans="1:13">
      <c r="A42" t="s">
        <v>333</v>
      </c>
      <c r="B42" s="41"/>
      <c r="C42" s="47"/>
      <c r="D42" s="4" t="str">
        <f t="array" ref="D42">IF(OR(ISNUMBER(SEARCH(","&amp;$A42&amp;",",","&amp;WnSAssignmentDaySail&amp;","))),"Y","-")</f>
        <v>-</v>
      </c>
      <c r="E42" s="1" t="str">
        <f t="array" ref="E42">IF(D42="Y",MAX(IF(ISNUMBER(SEARCH(CONCATENATE(",",$A42,","),CONCATENATE(",",WnSAssignmentDaySail,","))),TaskRankRequirements)),"")</f>
        <v/>
      </c>
      <c r="F42" s="1"/>
      <c r="G42" s="1"/>
      <c r="H42" s="1"/>
      <c r="I42" s="1"/>
      <c r="J42" s="1"/>
      <c r="K42" s="1"/>
      <c r="L42" s="1"/>
      <c r="M42" s="2"/>
    </row>
    <row r="43" spans="1:13">
      <c r="A43" t="s">
        <v>333</v>
      </c>
      <c r="B43" s="41"/>
      <c r="C43" s="47"/>
      <c r="D43" s="4" t="str">
        <f t="array" ref="D43">IF(OR(ISNUMBER(SEARCH(","&amp;$A43&amp;",",","&amp;WnSAssignmentDaySail&amp;","))),"Y","-")</f>
        <v>-</v>
      </c>
      <c r="E43" s="1" t="str">
        <f t="array" ref="E43">IF(D43="Y",MAX(IF(ISNUMBER(SEARCH(CONCATENATE(",",$A43,","),CONCATENATE(",",WnSAssignmentDaySail,","))),TaskRankRequirements)),"")</f>
        <v/>
      </c>
      <c r="F43" s="1"/>
      <c r="G43" s="1"/>
      <c r="H43" s="1"/>
      <c r="I43" s="1"/>
      <c r="J43" s="1"/>
      <c r="K43" s="1"/>
      <c r="L43" s="1"/>
      <c r="M43" s="2"/>
    </row>
    <row r="44" spans="1:13">
      <c r="A44" t="s">
        <v>333</v>
      </c>
      <c r="B44" s="41"/>
      <c r="C44" s="47"/>
      <c r="D44" s="4" t="str">
        <f t="array" ref="D44">IF(OR(ISNUMBER(SEARCH(","&amp;$A44&amp;",",","&amp;WnSAssignmentDaySail&amp;","))),"Y","-")</f>
        <v>-</v>
      </c>
      <c r="E44" s="1" t="str">
        <f t="array" ref="E44">IF(D44="Y",MAX(IF(ISNUMBER(SEARCH(CONCATENATE(",",$A44,","),CONCATENATE(",",WnSAssignmentDaySail,","))),TaskRankRequirements)),"")</f>
        <v/>
      </c>
      <c r="F44" s="1"/>
      <c r="G44" s="1"/>
      <c r="H44" s="1"/>
      <c r="I44" s="1"/>
      <c r="J44" s="1"/>
      <c r="K44" s="1"/>
      <c r="L44" s="1"/>
      <c r="M44" s="2"/>
    </row>
    <row r="45" spans="1:13">
      <c r="A45" t="s">
        <v>333</v>
      </c>
      <c r="B45" s="41"/>
      <c r="C45" s="47"/>
      <c r="D45" s="4" t="str">
        <f t="array" ref="D45">IF(OR(ISNUMBER(SEARCH(","&amp;$A45&amp;",",","&amp;WnSAssignmentDaySail&amp;","))),"Y","-")</f>
        <v>-</v>
      </c>
      <c r="E45" s="1" t="str">
        <f t="array" ref="E45">IF(D45="Y",MAX(IF(ISNUMBER(SEARCH(CONCATENATE(",",$A45,","),CONCATENATE(",",WnSAssignmentDaySail,","))),TaskRankRequirements)),"")</f>
        <v/>
      </c>
      <c r="F45" s="1"/>
      <c r="G45" s="1"/>
      <c r="H45" s="1"/>
      <c r="I45" s="1"/>
      <c r="J45" s="1"/>
      <c r="K45" s="1"/>
      <c r="L45" s="1"/>
      <c r="M45" s="2"/>
    </row>
    <row r="46" spans="1:13">
      <c r="A46" t="s">
        <v>333</v>
      </c>
      <c r="B46" s="41"/>
      <c r="C46" s="47"/>
      <c r="D46" s="4" t="str">
        <f t="array" ref="D46">IF(OR(ISNUMBER(SEARCH(","&amp;$A46&amp;",",","&amp;WnSAssignmentDaySail&amp;","))),"Y","-")</f>
        <v>-</v>
      </c>
      <c r="E46" s="1" t="str">
        <f t="array" ref="E46">IF(D46="Y",MAX(IF(ISNUMBER(SEARCH(CONCATENATE(",",$A46,","),CONCATENATE(",",WnSAssignmentDaySail,","))),TaskRankRequirements)),"")</f>
        <v/>
      </c>
      <c r="F46" s="1"/>
      <c r="G46" s="1"/>
      <c r="H46" s="1"/>
      <c r="I46" s="1"/>
      <c r="J46" s="1"/>
      <c r="K46" s="1"/>
      <c r="L46" s="1"/>
      <c r="M46" s="2"/>
    </row>
    <row r="47" spans="1:13">
      <c r="A47" t="s">
        <v>333</v>
      </c>
      <c r="B47" s="43"/>
      <c r="C47" s="43" t="s">
        <v>397</v>
      </c>
      <c r="D47" s="4" t="str">
        <f t="array" ref="D47">IF(OR(ISNUMBER(SEARCH(","&amp;$A47&amp;",",","&amp;WnSAssignmentDaySail&amp;","))),"Y","-")</f>
        <v>-</v>
      </c>
      <c r="E47" s="1" t="str">
        <f t="array" ref="E47">IF(D47="Y",MAX(IF(ISNUMBER(SEARCH(CONCATENATE(",",$A47,","),CONCATENATE(",",WnSAssignmentDaySail,","))),TaskRankRequirements)),"")</f>
        <v/>
      </c>
      <c r="F47" s="1"/>
      <c r="G47" s="1"/>
      <c r="H47" s="1"/>
      <c r="I47" s="1"/>
      <c r="J47" s="1"/>
      <c r="K47" s="1"/>
      <c r="L47" s="1"/>
      <c r="M47" s="2"/>
    </row>
    <row r="48" spans="1:13">
      <c r="A48" t="s">
        <v>333</v>
      </c>
      <c r="B48" s="43"/>
      <c r="C48" s="43" t="s">
        <v>397</v>
      </c>
      <c r="D48" s="4" t="str">
        <f t="array" ref="D48">IF(OR(ISNUMBER(SEARCH(","&amp;$A48&amp;",",","&amp;WnSAssignmentDaySail&amp;","))),"Y","-")</f>
        <v>-</v>
      </c>
      <c r="E48" s="1" t="str">
        <f t="array" ref="E48">IF(D48="Y",MAX(IF(ISNUMBER(SEARCH(CONCATENATE(",",$A48,","),CONCATENATE(",",WnSAssignmentDaySail,","))),TaskRankRequirements)),"")</f>
        <v/>
      </c>
      <c r="F48" s="1"/>
      <c r="G48" s="1"/>
      <c r="H48" s="1"/>
      <c r="I48" s="1"/>
      <c r="J48" s="1"/>
      <c r="K48" s="1"/>
      <c r="L48" s="1"/>
      <c r="M48" s="2"/>
    </row>
    <row r="49" spans="1:13">
      <c r="A49" t="s">
        <v>333</v>
      </c>
      <c r="B49" s="43"/>
      <c r="C49" s="43" t="s">
        <v>397</v>
      </c>
      <c r="D49" s="4" t="str">
        <f t="array" ref="D49">IF(OR(ISNUMBER(SEARCH(","&amp;$A49&amp;",",","&amp;WnSAssignmentDaySail&amp;","))),"Y","-")</f>
        <v>-</v>
      </c>
      <c r="E49" s="1" t="str">
        <f t="array" ref="E49">IF(D49="Y",MAX(IF(ISNUMBER(SEARCH(CONCATENATE(",",$A49,","),CONCATENATE(",",WnSAssignmentDaySail,","))),TaskRankRequirements)),"")</f>
        <v/>
      </c>
      <c r="F49" s="1"/>
      <c r="G49" s="1"/>
      <c r="H49" s="1"/>
      <c r="I49" s="1"/>
      <c r="J49" s="1"/>
      <c r="K49" s="1"/>
      <c r="L49" s="1"/>
      <c r="M49" s="2"/>
    </row>
    <row r="50" spans="1:13">
      <c r="A50" t="s">
        <v>333</v>
      </c>
      <c r="B50" s="43"/>
      <c r="C50" s="43" t="s">
        <v>397</v>
      </c>
      <c r="D50" s="4" t="str">
        <f t="array" ref="D50">IF(OR(ISNUMBER(SEARCH(","&amp;$A50&amp;",",","&amp;WnSAssignmentDaySail&amp;","))),"Y","-")</f>
        <v>-</v>
      </c>
      <c r="E50" s="1" t="str">
        <f t="array" ref="E50">IF(D50="Y",MAX(IF(ISNUMBER(SEARCH(CONCATENATE(",",$A50,","),CONCATENATE(",",WnSAssignmentDaySail,","))),TaskRankRequirements)),"")</f>
        <v/>
      </c>
      <c r="F50" s="1"/>
      <c r="G50" s="1"/>
      <c r="H50" s="1"/>
      <c r="I50" s="1"/>
      <c r="J50" s="1"/>
      <c r="K50" s="1"/>
      <c r="L50" s="1"/>
      <c r="M50" s="2"/>
    </row>
    <row r="51" spans="1:13">
      <c r="A51" t="s">
        <v>333</v>
      </c>
      <c r="B51" s="43"/>
      <c r="C51" s="68"/>
      <c r="D51" s="4" t="str">
        <f t="array" ref="D51">IF(OR(ISNUMBER(SEARCH(","&amp;$A51&amp;",",","&amp;WnSAssignmentDaySail&amp;","))),"Y","-")</f>
        <v>-</v>
      </c>
      <c r="E51" s="1" t="str">
        <f t="array" ref="E51">IF(D51="Y",MAX(IF(ISNUMBER(SEARCH(CONCATENATE(",",$A51,","),CONCATENATE(",",WnSAssignmentDaySail,","))),TaskRankRequirements)),"")</f>
        <v/>
      </c>
      <c r="F51" s="1"/>
      <c r="G51" s="1"/>
      <c r="H51" s="1"/>
      <c r="I51" s="1"/>
      <c r="J51" s="1"/>
      <c r="K51" s="1"/>
      <c r="L51" s="1"/>
      <c r="M51" s="2"/>
    </row>
    <row r="52" spans="1:13">
      <c r="A52" t="s">
        <v>423</v>
      </c>
      <c r="B52" s="44"/>
      <c r="C52" s="74"/>
      <c r="D52" s="11" t="str">
        <f t="array" ref="D52">IF(OR(ISNUMBER(SEARCH(","&amp;$A52&amp;",",","&amp;WnSAssignmentDaySail&amp;","))),"Y","-")</f>
        <v>-</v>
      </c>
      <c r="E52" s="13" t="str">
        <f t="array" ref="E52">IF(D52="Y",MAX(IF(ISNUMBER(SEARCH(CONCATENATE(",",$A52,","),CONCATENATE(",",WnSAssignmentDaySail,","))),TaskRankRequirements)),"")</f>
        <v/>
      </c>
      <c r="F52" s="13"/>
      <c r="G52" s="13"/>
      <c r="H52" s="13"/>
      <c r="I52" s="13"/>
      <c r="J52" s="13"/>
      <c r="K52" s="13"/>
      <c r="L52" s="13"/>
      <c r="M52" s="14"/>
    </row>
    <row r="53" spans="1:13">
      <c r="A53" t="s">
        <v>207</v>
      </c>
      <c r="B53" s="34" t="s">
        <v>43</v>
      </c>
      <c r="C53" s="65"/>
      <c r="D53" s="19" t="str">
        <f t="array" ref="D53">IF(OR(ISNUMBER(SEARCH(","&amp;$A53&amp;",",","&amp;WnSAssignmentDaySail&amp;","))),"Y","-")</f>
        <v>Y</v>
      </c>
      <c r="E53" s="20">
        <f t="array" ref="E53">IF(D53="Y",MAX(IF(ISNUMBER(SEARCH(CONCATENATE(",",$A53,","),CONCATENATE(",",WnSAssignmentDaySail,","))),TaskRankRequirements)),"")</f>
        <v>0</v>
      </c>
      <c r="F53" s="21" t="s">
        <v>402</v>
      </c>
      <c r="G53" s="21"/>
      <c r="H53" s="21"/>
      <c r="I53" s="21" t="s">
        <v>402</v>
      </c>
      <c r="J53" s="21" t="s">
        <v>402</v>
      </c>
      <c r="K53" s="21" t="s">
        <v>402</v>
      </c>
      <c r="L53" s="21"/>
      <c r="M53" s="58"/>
    </row>
    <row r="54" spans="1:13">
      <c r="A54" t="s">
        <v>208</v>
      </c>
      <c r="B54" s="69" t="s">
        <v>404</v>
      </c>
      <c r="C54" s="45"/>
      <c r="D54" s="29" t="str">
        <f t="array" ref="D54">IF(OR(ISNUMBER(SEARCH(","&amp;$A54&amp;",",","&amp;WnSAssignmentDaySail&amp;","))),"Y","-")</f>
        <v>Y</v>
      </c>
      <c r="E54" s="31">
        <f t="array" ref="E54">IF(D54="Y",MAX(IF(ISNUMBER(SEARCH(CONCATENATE(",",$A54,","),CONCATENATE(",",WnSAssignmentDaySail,","))),TaskRankRequirements)),"")</f>
        <v>0</v>
      </c>
      <c r="F54" s="31" t="s">
        <v>400</v>
      </c>
      <c r="G54" s="31"/>
      <c r="H54" s="31"/>
      <c r="I54" s="31" t="s">
        <v>400</v>
      </c>
      <c r="J54" s="31" t="s">
        <v>400</v>
      </c>
      <c r="K54" s="31" t="s">
        <v>400</v>
      </c>
      <c r="L54" s="31"/>
      <c r="M54" s="32"/>
    </row>
    <row r="55" spans="1:13">
      <c r="A55" t="s">
        <v>333</v>
      </c>
      <c r="B55" s="145"/>
      <c r="C55" s="146"/>
      <c r="D55" s="7" t="str">
        <f t="array" ref="D55">IF(OR(ISNUMBER(SEARCH(","&amp;$A55&amp;",",","&amp;WnSAssignmentDaySail&amp;","))),"Y","-")</f>
        <v>-</v>
      </c>
      <c r="E55" s="10" t="str">
        <f t="array" ref="E55">IF(D55="Y",MAX(IF(ISNUMBER(SEARCH(CONCATENATE(",",$A55,","),CONCATENATE(",",WnSAssignmentDaySail,","))),TaskRankRequirements)),"")</f>
        <v/>
      </c>
      <c r="F55" s="10"/>
      <c r="G55" s="10"/>
      <c r="H55" s="10"/>
      <c r="I55" s="10"/>
      <c r="J55" s="10"/>
      <c r="K55" s="10"/>
      <c r="L55" s="10"/>
      <c r="M55" s="33"/>
    </row>
    <row r="56" spans="1:13">
      <c r="A56" t="s">
        <v>333</v>
      </c>
      <c r="B56" s="41"/>
      <c r="C56" s="47"/>
      <c r="D56" s="4" t="str">
        <f t="array" ref="D56">IF(OR(ISNUMBER(SEARCH(","&amp;$A56&amp;",",","&amp;WnSAssignmentDaySail&amp;","))),"Y","-")</f>
        <v>-</v>
      </c>
      <c r="E56" s="1" t="str">
        <f t="array" ref="E56">IF(D56="Y",MAX(IF(ISNUMBER(SEARCH(CONCATENATE(",",$A56,","),CONCATENATE(",",WnSAssignmentDaySail,","))),TaskRankRequirements)),"")</f>
        <v/>
      </c>
      <c r="F56" s="1"/>
      <c r="G56" s="1"/>
      <c r="H56" s="1"/>
      <c r="I56" s="1"/>
      <c r="J56" s="1"/>
      <c r="K56" s="1"/>
      <c r="L56" s="1"/>
      <c r="M56" s="2"/>
    </row>
    <row r="57" spans="1:13">
      <c r="A57" t="s">
        <v>333</v>
      </c>
      <c r="B57" s="37"/>
      <c r="C57" s="48"/>
      <c r="D57" s="4" t="str">
        <f t="array" ref="D57">IF(OR(ISNUMBER(SEARCH(","&amp;$A57&amp;",",","&amp;WnSAssignmentDaySail&amp;","))),"Y","-")</f>
        <v>-</v>
      </c>
      <c r="E57" s="1" t="str">
        <f t="array" ref="E57">IF(D57="Y",MAX(IF(ISNUMBER(SEARCH(CONCATENATE(",",$A57,","),CONCATENATE(",",WnSAssignmentDaySail,","))),TaskRankRequirements)),"")</f>
        <v/>
      </c>
      <c r="F57" s="1"/>
      <c r="G57" s="1"/>
      <c r="H57" s="1"/>
      <c r="I57" s="1"/>
      <c r="J57" s="1"/>
      <c r="K57" s="1"/>
      <c r="L57" s="1"/>
      <c r="M57" s="2"/>
    </row>
    <row r="58" spans="1:13">
      <c r="A58" t="s">
        <v>429</v>
      </c>
      <c r="B58" s="72"/>
      <c r="C58" s="73"/>
      <c r="D58" s="11" t="str">
        <f t="array" ref="D58">IF(OR(ISNUMBER(SEARCH(","&amp;$A58&amp;",",","&amp;WnSAssignmentDaySail&amp;","))),"Y","-")</f>
        <v>-</v>
      </c>
      <c r="E58" s="13" t="str">
        <f t="array" ref="E58">IF(D58="Y",MAX(IF(ISNUMBER(SEARCH(CONCATENATE(",",$A58,","),CONCATENATE(",",WnSAssignmentDaySail,","))),TaskRankRequirements)),"")</f>
        <v/>
      </c>
      <c r="F58" s="13"/>
      <c r="G58" s="13"/>
      <c r="H58" s="13"/>
      <c r="I58" s="13"/>
      <c r="J58" s="13"/>
      <c r="K58" s="13"/>
      <c r="L58" s="13"/>
      <c r="M58" s="14"/>
    </row>
    <row r="59" spans="1:13">
      <c r="A59" t="s">
        <v>209</v>
      </c>
      <c r="B59" s="69" t="s">
        <v>407</v>
      </c>
      <c r="C59" s="69" t="s">
        <v>407</v>
      </c>
      <c r="D59" s="29" t="str">
        <f t="array" ref="D59">IF(OR(ISNUMBER(SEARCH(","&amp;$A59&amp;",",","&amp;WnSAssignmentDaySail&amp;","))),"Y","-")</f>
        <v>Y</v>
      </c>
      <c r="E59" s="31">
        <f t="array" ref="E59">IF(D59="Y",MAX(IF(ISNUMBER(SEARCH(CONCATENATE(",",$A59,","),CONCATENATE(",",WnSAssignmentDaySail,","))),TaskRankRequirements)),"")</f>
        <v>0</v>
      </c>
      <c r="F59" s="31" t="s">
        <v>408</v>
      </c>
      <c r="G59" s="31"/>
      <c r="H59" s="31"/>
      <c r="I59" s="31"/>
      <c r="J59" s="31" t="s">
        <v>409</v>
      </c>
      <c r="K59" s="31"/>
      <c r="L59" s="31"/>
      <c r="M59" s="32"/>
    </row>
    <row r="60" spans="1:13">
      <c r="A60" t="s">
        <v>333</v>
      </c>
      <c r="B60" s="41"/>
      <c r="C60" s="41" t="s">
        <v>410</v>
      </c>
      <c r="D60" s="4" t="str">
        <f t="array" ref="D60">IF(OR(ISNUMBER(SEARCH(","&amp;$A60&amp;",",","&amp;WnSAssignmentDaySail&amp;","))),"Y","-")</f>
        <v>-</v>
      </c>
      <c r="E60" s="1" t="str">
        <f t="array" ref="E60">IF(D60="Y",MAX(IF(ISNUMBER(SEARCH(CONCATENATE(",",$A60,","),CONCATENATE(",",WnSAssignmentDaySail,","))),TaskRankRequirements)),"")</f>
        <v/>
      </c>
      <c r="F60" s="1"/>
      <c r="G60" s="1"/>
      <c r="H60" s="1"/>
      <c r="I60" s="1"/>
      <c r="J60" s="1"/>
      <c r="K60" s="1"/>
      <c r="L60" s="1"/>
      <c r="M60" s="2"/>
    </row>
    <row r="61" spans="1:13">
      <c r="A61" t="s">
        <v>441</v>
      </c>
      <c r="B61" s="69" t="s">
        <v>412</v>
      </c>
      <c r="C61" s="69" t="s">
        <v>412</v>
      </c>
      <c r="D61" s="29" t="str">
        <f t="array" ref="D61">IF(OR(ISNUMBER(SEARCH(","&amp;$A61&amp;",",","&amp;WnSAssignmentDaySail&amp;","))),"Y","-")</f>
        <v>Y</v>
      </c>
      <c r="E61" s="31">
        <f t="array" ref="E61">IF(D61="Y",MAX(IF(ISNUMBER(SEARCH(CONCATENATE(",",$A61,","),CONCATENATE(",",WnSAssignmentDaySail,","))),TaskRankRequirements)),"")</f>
        <v>0</v>
      </c>
      <c r="F61" s="31"/>
      <c r="G61" s="31"/>
      <c r="H61" s="31"/>
      <c r="I61" s="31"/>
      <c r="J61" s="31" t="s">
        <v>413</v>
      </c>
      <c r="K61" s="31"/>
      <c r="L61" s="31"/>
      <c r="M61" s="32"/>
    </row>
    <row r="62" spans="1:13">
      <c r="A62" t="s">
        <v>442</v>
      </c>
      <c r="B62" s="69" t="s">
        <v>412</v>
      </c>
      <c r="C62" s="69" t="s">
        <v>412</v>
      </c>
      <c r="D62" s="29" t="str">
        <f t="array" ref="D62">IF(OR(ISNUMBER(SEARCH(","&amp;$A62&amp;",",","&amp;WnSAssignmentDaySail&amp;","))),"Y","-")</f>
        <v>Y</v>
      </c>
      <c r="E62" s="31">
        <f t="array" ref="E62">IF(D62="Y",MAX(IF(ISNUMBER(SEARCH(CONCATENATE(",",$A62,","),CONCATENATE(",",WnSAssignmentDaySail,","))),TaskRankRequirements)),"")</f>
        <v>0</v>
      </c>
      <c r="F62" s="31"/>
      <c r="G62" s="31"/>
      <c r="H62" s="31"/>
      <c r="I62" s="31"/>
      <c r="J62" s="31" t="s">
        <v>413</v>
      </c>
      <c r="K62" s="31"/>
      <c r="L62" s="31"/>
      <c r="M62" s="32"/>
    </row>
    <row r="63" spans="1:13">
      <c r="A63" t="s">
        <v>443</v>
      </c>
      <c r="B63" s="70" t="s">
        <v>412</v>
      </c>
      <c r="C63" s="70" t="s">
        <v>412</v>
      </c>
      <c r="D63" s="25" t="str">
        <f t="array" ref="D63">IF(OR(ISNUMBER(SEARCH(","&amp;$A63&amp;",",","&amp;WnSAssignmentDaySail&amp;","))),"Y","-")</f>
        <v>Y</v>
      </c>
      <c r="E63" s="27">
        <f t="array" ref="E63">IF(D63="Y",MAX(IF(ISNUMBER(SEARCH(CONCATENATE(",",$A63,","),CONCATENATE(",",WnSAssignmentDaySail,","))),TaskRankRequirements)),"")</f>
        <v>0</v>
      </c>
      <c r="F63" s="27"/>
      <c r="G63" s="27"/>
      <c r="H63" s="27"/>
      <c r="I63" s="27"/>
      <c r="J63" s="27" t="s">
        <v>413</v>
      </c>
      <c r="K63" s="27"/>
      <c r="L63" s="27"/>
      <c r="M63" s="28"/>
    </row>
    <row r="64" spans="1:13">
      <c r="A64" t="s">
        <v>333</v>
      </c>
      <c r="B64" s="143"/>
      <c r="C64" s="143" t="s">
        <v>412</v>
      </c>
      <c r="D64" s="7" t="str">
        <f t="array" ref="D64">IF(OR(ISNUMBER(SEARCH(","&amp;$A64&amp;",",","&amp;WnSAssignmentDaySail&amp;","))),"Y","-")</f>
        <v>-</v>
      </c>
      <c r="E64" s="10" t="str">
        <f t="array" ref="E64">IF(D64="Y",MAX(IF(ISNUMBER(SEARCH(CONCATENATE(",",$A64,","),CONCATENATE(",",WnSAssignmentDaySail,","))),TaskRankRequirements)),"")</f>
        <v/>
      </c>
      <c r="F64" s="10"/>
      <c r="G64" s="10"/>
      <c r="H64" s="10"/>
      <c r="I64" s="10"/>
      <c r="J64" s="10"/>
      <c r="K64" s="10"/>
      <c r="L64" s="10"/>
      <c r="M64" s="33"/>
    </row>
    <row r="65" spans="1:13">
      <c r="A65" t="s">
        <v>333</v>
      </c>
      <c r="B65" s="143"/>
      <c r="C65" s="143" t="s">
        <v>412</v>
      </c>
      <c r="D65" s="7" t="str">
        <f t="array" ref="D65">IF(OR(ISNUMBER(SEARCH(","&amp;$A65&amp;",",","&amp;WnSAssignmentDaySail&amp;","))),"Y","-")</f>
        <v>-</v>
      </c>
      <c r="E65" s="10" t="str">
        <f t="array" ref="E65">IF(D65="Y",MAX(IF(ISNUMBER(SEARCH(CONCATENATE(",",$A65,","),CONCATENATE(",",WnSAssignmentDaySail,","))),TaskRankRequirements)),"")</f>
        <v/>
      </c>
      <c r="F65" s="10"/>
      <c r="G65" s="10"/>
      <c r="H65" s="10"/>
      <c r="I65" s="10"/>
      <c r="J65" s="10"/>
      <c r="K65" s="10"/>
      <c r="L65" s="10"/>
      <c r="M65" s="33"/>
    </row>
    <row r="66" spans="1:13">
      <c r="A66" t="s">
        <v>598</v>
      </c>
      <c r="B66" s="59"/>
      <c r="C66" s="59" t="s">
        <v>416</v>
      </c>
      <c r="D66" s="4" t="str">
        <f t="array" ref="D66">IF(OR(ISNUMBER(SEARCH(","&amp;$A66&amp;",",","&amp;WnSAssignmentDaySail&amp;","))),"Y","-")</f>
        <v>-</v>
      </c>
      <c r="E66" s="1" t="str">
        <f t="array" ref="E66">IF(D66="Y",MAX(IF(ISNUMBER(SEARCH(CONCATENATE(",",$A66,","),CONCATENATE(",",WnSAssignmentDaySail,","))),TaskRankRequirements)),"")</f>
        <v/>
      </c>
      <c r="F66" s="1"/>
      <c r="G66" s="1"/>
      <c r="H66" s="1"/>
      <c r="I66" s="1"/>
      <c r="J66" s="1"/>
      <c r="K66" s="1"/>
      <c r="L66" s="1"/>
      <c r="M66" s="2"/>
    </row>
    <row r="67" spans="1:13">
      <c r="A67" s="10" t="s">
        <v>599</v>
      </c>
      <c r="B67" s="37"/>
      <c r="C67" s="37" t="s">
        <v>417</v>
      </c>
      <c r="D67" s="4" t="str">
        <f t="array" ref="D67">IF(OR(ISNUMBER(SEARCH(","&amp;$A67&amp;",",","&amp;WnSAssignmentDaySail&amp;","))),"Y","-")</f>
        <v>Y</v>
      </c>
      <c r="E67" s="1">
        <f t="array" ref="E67">IF(D67="Y",MAX(IF(ISNUMBER(SEARCH(CONCATENATE(",",$A67,","),CONCATENATE(",",WnSAssignmentDaySail,","))),TaskRankRequirements)),"")</f>
        <v>0</v>
      </c>
      <c r="F67" s="1"/>
      <c r="G67" s="1"/>
      <c r="H67" s="1"/>
      <c r="I67" s="1"/>
      <c r="J67" s="1"/>
      <c r="K67" s="1"/>
      <c r="L67" s="1"/>
      <c r="M67" s="2"/>
    </row>
    <row r="68" spans="1:13">
      <c r="A68" s="10" t="s">
        <v>600</v>
      </c>
      <c r="B68" s="71"/>
      <c r="C68" s="71" t="s">
        <v>418</v>
      </c>
      <c r="D68" s="11" t="str">
        <f t="array" ref="D68">IF(OR(ISNUMBER(SEARCH(","&amp;$A68&amp;",",","&amp;WnSAssignmentDaySail&amp;","))),"Y","-")</f>
        <v>Y</v>
      </c>
      <c r="E68" s="13">
        <f t="array" ref="E68">IF(D68="Y",MAX(IF(ISNUMBER(SEARCH(CONCATENATE(",",$A68,","),CONCATENATE(",",WnSAssignmentDaySail,","))),TaskRankRequirements)),"")</f>
        <v>0</v>
      </c>
      <c r="F68" s="13"/>
      <c r="G68" s="13"/>
      <c r="H68" s="13"/>
      <c r="I68" s="13"/>
      <c r="J68" s="13"/>
      <c r="K68" s="13"/>
      <c r="L68" s="13"/>
      <c r="M68" s="14"/>
    </row>
  </sheetData>
  <mergeCells count="2">
    <mergeCell ref="D1:M1"/>
    <mergeCell ref="F3:M3"/>
  </mergeCells>
  <conditionalFormatting sqref="A6:A10 A12:A51 A53:A57 A59:A68">
    <cfRule type="expression" dxfId="3" priority="1">
      <formula>A6=""</formula>
    </cfRule>
    <cfRule type="expression" dxfId="2" priority="2" stopIfTrue="1">
      <formula>A6=" "</formula>
    </cfRule>
    <cfRule type="duplicateValues" dxfId="1" priority="3"/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68"/>
  <sheetViews>
    <sheetView workbookViewId="0">
      <pane xSplit="3" ySplit="4" topLeftCell="D5" activePane="bottomRight" state="frozenSplit"/>
      <selection pane="topRight" activeCell="D1" sqref="D1"/>
      <selection pane="bottomLeft" activeCell="A6" sqref="A6"/>
      <selection pane="bottomRight" activeCell="P54" sqref="P54"/>
    </sheetView>
  </sheetViews>
  <sheetFormatPr baseColWidth="10" defaultColWidth="11" defaultRowHeight="13" x14ac:dyDescent="0"/>
  <cols>
    <col min="2" max="2" width="20" bestFit="1" customWidth="1"/>
    <col min="3" max="3" width="16.5703125" customWidth="1"/>
    <col min="4" max="4" width="2" style="8" bestFit="1" customWidth="1"/>
    <col min="5" max="5" width="2.28515625" customWidth="1"/>
    <col min="6" max="6" width="13.85546875" bestFit="1" customWidth="1"/>
    <col min="7" max="7" width="14.42578125" bestFit="1" customWidth="1"/>
    <col min="8" max="8" width="12.5703125" bestFit="1" customWidth="1"/>
    <col min="9" max="9" width="12.140625" bestFit="1" customWidth="1"/>
    <col min="10" max="10" width="13.42578125" bestFit="1" customWidth="1"/>
    <col min="11" max="11" width="12.28515625" bestFit="1" customWidth="1"/>
    <col min="12" max="12" width="8.5703125" bestFit="1" customWidth="1"/>
  </cols>
  <sheetData>
    <row r="1" spans="1:12" ht="20">
      <c r="D1"/>
      <c r="E1" s="92" t="s">
        <v>313</v>
      </c>
      <c r="F1" s="93"/>
      <c r="G1" s="93"/>
      <c r="H1" s="93"/>
      <c r="I1" s="93"/>
      <c r="J1" s="93"/>
      <c r="K1" s="93"/>
      <c r="L1" s="93"/>
    </row>
    <row r="2" spans="1:12">
      <c r="C2" s="9" t="s">
        <v>314</v>
      </c>
      <c r="D2" s="4">
        <f>COUNTIF(D6:D68,"Y")</f>
        <v>0</v>
      </c>
      <c r="E2" s="4"/>
      <c r="F2" s="1"/>
      <c r="G2" s="1"/>
      <c r="H2" s="1"/>
      <c r="I2" s="1"/>
      <c r="J2" s="1"/>
      <c r="K2" s="2"/>
    </row>
    <row r="3" spans="1:12">
      <c r="B3" s="9"/>
      <c r="C3" s="9"/>
      <c r="D3" s="4"/>
      <c r="E3" s="4"/>
      <c r="F3" s="85" t="s">
        <v>316</v>
      </c>
      <c r="G3" s="85"/>
      <c r="H3" s="85"/>
      <c r="I3" s="85"/>
      <c r="J3" s="85"/>
      <c r="K3" s="85"/>
      <c r="L3" s="86"/>
    </row>
    <row r="4" spans="1:12">
      <c r="A4" t="s">
        <v>317</v>
      </c>
      <c r="B4" t="s">
        <v>318</v>
      </c>
      <c r="C4" t="s">
        <v>319</v>
      </c>
      <c r="D4" s="17"/>
      <c r="E4" s="17"/>
      <c r="F4" s="15" t="s">
        <v>320</v>
      </c>
      <c r="G4" s="15" t="s">
        <v>583</v>
      </c>
      <c r="H4" s="15" t="s">
        <v>323</v>
      </c>
      <c r="I4" s="15" t="s">
        <v>585</v>
      </c>
      <c r="J4" s="15" t="s">
        <v>234</v>
      </c>
      <c r="K4" s="15" t="s">
        <v>321</v>
      </c>
      <c r="L4" s="16" t="s">
        <v>322</v>
      </c>
    </row>
    <row r="5" spans="1:12">
      <c r="A5" t="s">
        <v>419</v>
      </c>
      <c r="D5" s="17"/>
      <c r="E5" s="79"/>
      <c r="F5" s="18"/>
      <c r="G5" s="79"/>
      <c r="H5" s="79"/>
      <c r="I5" s="79"/>
      <c r="J5" s="79"/>
      <c r="K5" s="80"/>
    </row>
    <row r="6" spans="1:12">
      <c r="A6" t="s">
        <v>324</v>
      </c>
      <c r="B6" s="51" t="s">
        <v>325</v>
      </c>
      <c r="C6" s="62" t="s">
        <v>325</v>
      </c>
      <c r="D6" s="20" t="str">
        <f t="shared" ref="D6:D68" si="0">IF(COUNTIF(WnSAssignmentDaySail,$A6)&gt;0,"Y","-")</f>
        <v>-</v>
      </c>
      <c r="E6" s="20"/>
      <c r="F6" s="20" t="s">
        <v>326</v>
      </c>
      <c r="G6" s="20" t="s">
        <v>326</v>
      </c>
      <c r="H6" s="20" t="s">
        <v>586</v>
      </c>
      <c r="I6" s="20" t="s">
        <v>586</v>
      </c>
      <c r="J6" s="20" t="s">
        <v>326</v>
      </c>
      <c r="K6" s="20" t="s">
        <v>326</v>
      </c>
      <c r="L6" s="20" t="s">
        <v>326</v>
      </c>
    </row>
    <row r="7" spans="1:12">
      <c r="A7" t="s">
        <v>328</v>
      </c>
      <c r="B7" s="35" t="s">
        <v>329</v>
      </c>
      <c r="C7" s="63" t="s">
        <v>329</v>
      </c>
      <c r="D7" s="20" t="str">
        <f t="shared" si="0"/>
        <v>-</v>
      </c>
      <c r="E7" s="20"/>
      <c r="F7" s="20" t="s">
        <v>332</v>
      </c>
      <c r="G7" s="20" t="s">
        <v>332</v>
      </c>
      <c r="H7" s="20" t="s">
        <v>586</v>
      </c>
      <c r="I7" s="20" t="s">
        <v>586</v>
      </c>
      <c r="J7" s="20" t="s">
        <v>331</v>
      </c>
      <c r="K7" s="20" t="s">
        <v>332</v>
      </c>
      <c r="L7" s="20"/>
    </row>
    <row r="8" spans="1:12">
      <c r="A8" s="10" t="s">
        <v>333</v>
      </c>
      <c r="B8" s="36" t="s">
        <v>334</v>
      </c>
      <c r="C8" s="50" t="s">
        <v>334</v>
      </c>
      <c r="D8" s="23" t="str">
        <f t="shared" si="0"/>
        <v>-</v>
      </c>
      <c r="E8" s="23"/>
      <c r="F8" s="23"/>
      <c r="G8" s="23"/>
      <c r="H8" s="23"/>
      <c r="I8" s="23"/>
      <c r="J8" s="23"/>
      <c r="K8" s="23"/>
      <c r="L8" s="23"/>
    </row>
    <row r="9" spans="1:12">
      <c r="A9" s="10" t="s">
        <v>333</v>
      </c>
      <c r="B9" s="37" t="s">
        <v>335</v>
      </c>
      <c r="C9" s="48" t="s">
        <v>335</v>
      </c>
      <c r="D9" s="1" t="str">
        <f t="shared" si="0"/>
        <v>-</v>
      </c>
      <c r="E9" s="1"/>
      <c r="F9" s="1"/>
      <c r="G9" s="1"/>
      <c r="H9" s="1"/>
      <c r="I9" s="1"/>
      <c r="J9" s="1"/>
      <c r="K9" s="1"/>
      <c r="L9" s="1"/>
    </row>
    <row r="10" spans="1:12">
      <c r="A10" s="10" t="s">
        <v>333</v>
      </c>
      <c r="B10" s="38" t="s">
        <v>336</v>
      </c>
      <c r="C10" s="64" t="s">
        <v>336</v>
      </c>
      <c r="D10" s="1" t="str">
        <f t="shared" si="0"/>
        <v>-</v>
      </c>
      <c r="E10" s="1"/>
      <c r="F10" s="1"/>
      <c r="G10" s="1"/>
      <c r="H10" s="1"/>
      <c r="I10" s="1"/>
      <c r="J10" s="1"/>
      <c r="K10" s="1"/>
      <c r="L10" s="1"/>
    </row>
    <row r="11" spans="1:12">
      <c r="A11" t="s">
        <v>420</v>
      </c>
      <c r="B11" s="76"/>
      <c r="C11" s="77"/>
      <c r="D11" s="13" t="str">
        <f t="shared" si="0"/>
        <v>-</v>
      </c>
      <c r="E11" s="13"/>
      <c r="F11" s="13"/>
      <c r="G11" s="13"/>
      <c r="H11" s="13"/>
      <c r="I11" s="13"/>
      <c r="J11" s="13"/>
      <c r="K11" s="13"/>
      <c r="L11" s="13"/>
    </row>
    <row r="12" spans="1:12">
      <c r="A12" t="s">
        <v>338</v>
      </c>
      <c r="B12" s="34" t="s">
        <v>44</v>
      </c>
      <c r="C12" s="65" t="s">
        <v>44</v>
      </c>
      <c r="D12" s="20" t="str">
        <f t="shared" si="0"/>
        <v>-</v>
      </c>
      <c r="E12" s="20"/>
      <c r="F12" s="20" t="s">
        <v>241</v>
      </c>
      <c r="G12" s="20" t="s">
        <v>589</v>
      </c>
      <c r="H12" s="20" t="s">
        <v>589</v>
      </c>
      <c r="I12" s="20" t="s">
        <v>339</v>
      </c>
      <c r="J12" s="20" t="s">
        <v>339</v>
      </c>
      <c r="K12" s="20" t="s">
        <v>339</v>
      </c>
      <c r="L12" s="20" t="s">
        <v>339</v>
      </c>
    </row>
    <row r="13" spans="1:12">
      <c r="A13" t="s">
        <v>340</v>
      </c>
      <c r="B13" s="34" t="s">
        <v>341</v>
      </c>
      <c r="C13" s="65" t="s">
        <v>342</v>
      </c>
      <c r="D13" s="20" t="str">
        <f t="shared" si="0"/>
        <v>-</v>
      </c>
      <c r="E13" s="20"/>
      <c r="F13" s="20" t="s">
        <v>345</v>
      </c>
      <c r="G13" s="20" t="s">
        <v>587</v>
      </c>
      <c r="H13" s="20" t="s">
        <v>587</v>
      </c>
      <c r="I13" s="20" t="s">
        <v>346</v>
      </c>
      <c r="J13" s="20" t="s">
        <v>347</v>
      </c>
      <c r="K13" s="20" t="s">
        <v>348</v>
      </c>
      <c r="L13" s="20"/>
    </row>
    <row r="14" spans="1:12">
      <c r="A14" t="s">
        <v>349</v>
      </c>
      <c r="B14" s="39" t="s">
        <v>341</v>
      </c>
      <c r="C14" s="66" t="s">
        <v>350</v>
      </c>
      <c r="D14" s="27" t="str">
        <f t="shared" si="0"/>
        <v>-</v>
      </c>
      <c r="E14" s="27"/>
      <c r="F14" s="27" t="s">
        <v>343</v>
      </c>
      <c r="G14" s="27" t="s">
        <v>588</v>
      </c>
      <c r="H14" s="27" t="s">
        <v>588</v>
      </c>
      <c r="I14" s="27" t="s">
        <v>351</v>
      </c>
      <c r="J14" s="27" t="s">
        <v>351</v>
      </c>
      <c r="K14" s="27" t="s">
        <v>351</v>
      </c>
      <c r="L14" s="27"/>
    </row>
    <row r="15" spans="1:12">
      <c r="A15" t="s">
        <v>333</v>
      </c>
      <c r="B15" s="40" t="s">
        <v>341</v>
      </c>
      <c r="C15" s="46" t="s">
        <v>352</v>
      </c>
      <c r="D15" s="23" t="str">
        <f t="shared" si="0"/>
        <v>-</v>
      </c>
      <c r="E15" s="23"/>
      <c r="F15" s="23"/>
      <c r="G15" s="23"/>
      <c r="H15" s="23"/>
      <c r="I15" s="23"/>
      <c r="J15" s="23"/>
      <c r="K15" s="23"/>
      <c r="L15" s="23"/>
    </row>
    <row r="16" spans="1:12">
      <c r="A16" t="s">
        <v>353</v>
      </c>
      <c r="B16" s="34" t="s">
        <v>354</v>
      </c>
      <c r="C16" s="65" t="s">
        <v>355</v>
      </c>
      <c r="D16" s="20" t="str">
        <f t="shared" si="0"/>
        <v>-</v>
      </c>
      <c r="E16" s="20"/>
      <c r="F16" s="20" t="s">
        <v>357</v>
      </c>
      <c r="G16" s="20" t="s">
        <v>584</v>
      </c>
      <c r="H16" s="20"/>
      <c r="I16" s="20"/>
      <c r="J16" s="20" t="s">
        <v>344</v>
      </c>
      <c r="K16" s="20" t="s">
        <v>346</v>
      </c>
      <c r="L16" s="20"/>
    </row>
    <row r="17" spans="1:12">
      <c r="A17" t="s">
        <v>358</v>
      </c>
      <c r="B17" s="39" t="s">
        <v>359</v>
      </c>
      <c r="C17" s="66" t="s">
        <v>360</v>
      </c>
      <c r="D17" s="27" t="str">
        <f t="shared" si="0"/>
        <v>-</v>
      </c>
      <c r="E17" s="27"/>
      <c r="F17" s="27"/>
      <c r="G17" s="27"/>
      <c r="H17" s="27" t="s">
        <v>590</v>
      </c>
      <c r="I17" s="27" t="s">
        <v>361</v>
      </c>
      <c r="J17" s="27"/>
      <c r="K17" s="27" t="s">
        <v>362</v>
      </c>
      <c r="L17" s="27"/>
    </row>
    <row r="18" spans="1:12">
      <c r="A18" t="s">
        <v>333</v>
      </c>
      <c r="B18" s="40" t="s">
        <v>359</v>
      </c>
      <c r="C18" s="46"/>
      <c r="D18" s="23" t="str">
        <f t="shared" si="0"/>
        <v>-</v>
      </c>
      <c r="E18" s="23"/>
      <c r="F18" s="23"/>
      <c r="G18" s="23"/>
      <c r="H18" s="23"/>
      <c r="I18" s="23"/>
      <c r="J18" s="23"/>
      <c r="K18" s="23"/>
      <c r="L18" s="23"/>
    </row>
    <row r="19" spans="1:12">
      <c r="A19" t="s">
        <v>333</v>
      </c>
      <c r="B19" s="40" t="s">
        <v>359</v>
      </c>
      <c r="C19" s="46"/>
      <c r="D19" s="23" t="str">
        <f t="shared" si="0"/>
        <v>-</v>
      </c>
      <c r="E19" s="23"/>
      <c r="F19" s="23"/>
      <c r="G19" s="23"/>
      <c r="H19" s="23"/>
      <c r="I19" s="23"/>
      <c r="J19" s="23"/>
      <c r="K19" s="23"/>
      <c r="L19" s="23"/>
    </row>
    <row r="20" spans="1:12">
      <c r="A20" t="s">
        <v>363</v>
      </c>
      <c r="B20" s="39" t="s">
        <v>364</v>
      </c>
      <c r="C20" s="66" t="s">
        <v>365</v>
      </c>
      <c r="D20" s="27" t="str">
        <f t="shared" si="0"/>
        <v>-</v>
      </c>
      <c r="E20" s="27"/>
      <c r="F20" s="27"/>
      <c r="G20" s="27"/>
      <c r="H20" s="27" t="s">
        <v>590</v>
      </c>
      <c r="I20" s="27" t="s">
        <v>366</v>
      </c>
      <c r="J20" s="27" t="s">
        <v>366</v>
      </c>
      <c r="K20" s="27" t="s">
        <v>366</v>
      </c>
      <c r="L20" s="27"/>
    </row>
    <row r="21" spans="1:12">
      <c r="A21" t="s">
        <v>367</v>
      </c>
      <c r="B21" s="39" t="s">
        <v>364</v>
      </c>
      <c r="C21" s="66"/>
      <c r="D21" s="27" t="str">
        <f t="shared" si="0"/>
        <v>-</v>
      </c>
      <c r="E21" s="27"/>
      <c r="F21" s="27"/>
      <c r="G21" s="27"/>
      <c r="H21" s="27" t="s">
        <v>590</v>
      </c>
      <c r="I21" s="27" t="s">
        <v>361</v>
      </c>
      <c r="J21" s="27" t="s">
        <v>361</v>
      </c>
      <c r="K21" s="27" t="s">
        <v>368</v>
      </c>
      <c r="L21" s="27"/>
    </row>
    <row r="22" spans="1:12">
      <c r="A22" t="s">
        <v>369</v>
      </c>
      <c r="B22" s="39" t="s">
        <v>364</v>
      </c>
      <c r="C22" s="66"/>
      <c r="D22" s="27" t="str">
        <f t="shared" si="0"/>
        <v>-</v>
      </c>
      <c r="E22" s="27"/>
      <c r="F22" s="27"/>
      <c r="G22" s="27"/>
      <c r="H22" s="27" t="s">
        <v>590</v>
      </c>
      <c r="I22" s="27" t="s">
        <v>366</v>
      </c>
      <c r="J22" s="27" t="s">
        <v>366</v>
      </c>
      <c r="K22" s="27" t="s">
        <v>366</v>
      </c>
      <c r="L22" s="27"/>
    </row>
    <row r="23" spans="1:12">
      <c r="A23" t="s">
        <v>333</v>
      </c>
      <c r="B23" s="40" t="s">
        <v>364</v>
      </c>
      <c r="C23" s="46"/>
      <c r="D23" s="23" t="str">
        <f t="shared" si="0"/>
        <v>-</v>
      </c>
      <c r="E23" s="23"/>
      <c r="F23" s="23"/>
      <c r="G23" s="23"/>
      <c r="H23" s="23"/>
      <c r="I23" s="23"/>
      <c r="J23" s="23"/>
      <c r="K23" s="23"/>
      <c r="L23" s="23"/>
    </row>
    <row r="24" spans="1:12">
      <c r="A24" t="s">
        <v>333</v>
      </c>
      <c r="B24" s="40" t="s">
        <v>364</v>
      </c>
      <c r="C24" s="46"/>
      <c r="D24" s="23" t="str">
        <f t="shared" si="0"/>
        <v>-</v>
      </c>
      <c r="E24" s="23"/>
      <c r="F24" s="23"/>
      <c r="G24" s="23"/>
      <c r="H24" s="23"/>
      <c r="I24" s="23"/>
      <c r="J24" s="23"/>
      <c r="K24" s="23"/>
      <c r="L24" s="23"/>
    </row>
    <row r="25" spans="1:12">
      <c r="A25" t="s">
        <v>333</v>
      </c>
      <c r="B25" s="41" t="s">
        <v>364</v>
      </c>
      <c r="C25" s="47"/>
      <c r="D25" s="1" t="str">
        <f t="shared" si="0"/>
        <v>-</v>
      </c>
      <c r="E25" s="1"/>
      <c r="F25" s="1"/>
      <c r="G25" s="1"/>
      <c r="H25" s="1"/>
      <c r="I25" s="1"/>
      <c r="J25" s="1"/>
      <c r="K25" s="1"/>
      <c r="L25" s="1"/>
    </row>
    <row r="26" spans="1:12">
      <c r="A26" t="s">
        <v>333</v>
      </c>
      <c r="B26" s="41" t="s">
        <v>364</v>
      </c>
      <c r="C26" s="47"/>
      <c r="D26" s="1" t="str">
        <f t="shared" si="0"/>
        <v>-</v>
      </c>
      <c r="E26" s="1"/>
      <c r="F26" s="1"/>
      <c r="G26" s="1"/>
      <c r="H26" s="1"/>
      <c r="I26" s="1"/>
      <c r="J26" s="1"/>
      <c r="K26" s="1"/>
      <c r="L26" s="1"/>
    </row>
    <row r="27" spans="1:12">
      <c r="A27" t="s">
        <v>370</v>
      </c>
      <c r="B27" s="34" t="s">
        <v>371</v>
      </c>
      <c r="C27" s="65"/>
      <c r="D27" s="21" t="str">
        <f t="shared" si="0"/>
        <v>-</v>
      </c>
      <c r="E27" s="21"/>
      <c r="F27" s="21" t="s">
        <v>372</v>
      </c>
      <c r="G27" s="21" t="s">
        <v>591</v>
      </c>
      <c r="H27" s="21" t="s">
        <v>590</v>
      </c>
      <c r="I27" s="20" t="s">
        <v>361</v>
      </c>
      <c r="J27" s="20" t="s">
        <v>373</v>
      </c>
      <c r="K27" s="20" t="s">
        <v>374</v>
      </c>
      <c r="L27" s="20"/>
    </row>
    <row r="28" spans="1:12">
      <c r="A28" t="s">
        <v>375</v>
      </c>
      <c r="B28" s="34" t="s">
        <v>371</v>
      </c>
      <c r="C28" s="65"/>
      <c r="D28" s="21" t="str">
        <f t="shared" si="0"/>
        <v>-</v>
      </c>
      <c r="E28" s="21"/>
      <c r="F28" s="21" t="s">
        <v>372</v>
      </c>
      <c r="G28" s="21" t="s">
        <v>591</v>
      </c>
      <c r="H28" s="21" t="s">
        <v>590</v>
      </c>
      <c r="I28" s="20" t="s">
        <v>366</v>
      </c>
      <c r="J28" s="20" t="s">
        <v>376</v>
      </c>
      <c r="K28" s="20" t="s">
        <v>374</v>
      </c>
      <c r="L28" s="20"/>
    </row>
    <row r="29" spans="1:12">
      <c r="A29" t="s">
        <v>377</v>
      </c>
      <c r="B29" s="34" t="s">
        <v>371</v>
      </c>
      <c r="C29" s="65"/>
      <c r="D29" s="21" t="str">
        <f t="shared" si="0"/>
        <v>-</v>
      </c>
      <c r="E29" s="21"/>
      <c r="F29" s="21" t="s">
        <v>378</v>
      </c>
      <c r="G29" s="21" t="s">
        <v>591</v>
      </c>
      <c r="H29" s="21" t="s">
        <v>590</v>
      </c>
      <c r="I29" s="20" t="s">
        <v>361</v>
      </c>
      <c r="J29" s="20" t="s">
        <v>379</v>
      </c>
      <c r="K29" s="20" t="s">
        <v>374</v>
      </c>
      <c r="L29" s="20"/>
    </row>
    <row r="30" spans="1:12">
      <c r="A30" t="s">
        <v>380</v>
      </c>
      <c r="B30" s="34" t="s">
        <v>371</v>
      </c>
      <c r="C30" s="65"/>
      <c r="D30" s="21" t="str">
        <f t="shared" si="0"/>
        <v>-</v>
      </c>
      <c r="E30" s="21"/>
      <c r="F30" s="21" t="s">
        <v>378</v>
      </c>
      <c r="G30" s="21" t="s">
        <v>591</v>
      </c>
      <c r="H30" s="21" t="s">
        <v>590</v>
      </c>
      <c r="I30" s="20" t="s">
        <v>366</v>
      </c>
      <c r="J30" s="20" t="s">
        <v>381</v>
      </c>
      <c r="K30" s="20" t="s">
        <v>374</v>
      </c>
      <c r="L30" s="20"/>
    </row>
    <row r="31" spans="1:12">
      <c r="A31" t="s">
        <v>382</v>
      </c>
      <c r="B31" s="42" t="s">
        <v>383</v>
      </c>
      <c r="C31" s="67" t="s">
        <v>384</v>
      </c>
      <c r="D31" s="31" t="str">
        <f t="shared" si="0"/>
        <v>-</v>
      </c>
      <c r="E31" s="31"/>
      <c r="F31" s="31" t="s">
        <v>356</v>
      </c>
      <c r="G31" s="31" t="s">
        <v>356</v>
      </c>
      <c r="H31" s="31" t="s">
        <v>590</v>
      </c>
      <c r="I31" s="31" t="s">
        <v>356</v>
      </c>
      <c r="J31" s="31" t="s">
        <v>356</v>
      </c>
      <c r="K31" s="31" t="s">
        <v>356</v>
      </c>
      <c r="L31" s="31" t="s">
        <v>356</v>
      </c>
    </row>
    <row r="32" spans="1:12">
      <c r="A32" t="s">
        <v>385</v>
      </c>
      <c r="B32" s="42" t="s">
        <v>383</v>
      </c>
      <c r="C32" s="67" t="s">
        <v>386</v>
      </c>
      <c r="D32" s="31" t="str">
        <f t="shared" si="0"/>
        <v>-</v>
      </c>
      <c r="E32" s="31"/>
      <c r="F32" s="31" t="s">
        <v>372</v>
      </c>
      <c r="G32" s="31" t="s">
        <v>591</v>
      </c>
      <c r="H32" s="31" t="s">
        <v>590</v>
      </c>
      <c r="I32" s="31" t="s">
        <v>361</v>
      </c>
      <c r="J32" s="31" t="s">
        <v>361</v>
      </c>
      <c r="K32" s="31" t="s">
        <v>386</v>
      </c>
      <c r="L32" s="31"/>
    </row>
    <row r="33" spans="1:12">
      <c r="A33" t="s">
        <v>387</v>
      </c>
      <c r="B33" s="42" t="s">
        <v>383</v>
      </c>
      <c r="C33" s="67"/>
      <c r="D33" s="31" t="str">
        <f t="shared" si="0"/>
        <v>-</v>
      </c>
      <c r="E33" s="31"/>
      <c r="F33" s="31" t="s">
        <v>378</v>
      </c>
      <c r="G33" s="31" t="s">
        <v>591</v>
      </c>
      <c r="H33" s="31" t="s">
        <v>590</v>
      </c>
      <c r="I33" s="31" t="s">
        <v>366</v>
      </c>
      <c r="J33" s="31" t="s">
        <v>366</v>
      </c>
      <c r="K33" s="31" t="s">
        <v>366</v>
      </c>
      <c r="L33" s="31"/>
    </row>
    <row r="34" spans="1:12">
      <c r="A34" t="s">
        <v>388</v>
      </c>
      <c r="B34" s="42" t="s">
        <v>383</v>
      </c>
      <c r="C34" s="67"/>
      <c r="D34" s="31" t="str">
        <f t="shared" si="0"/>
        <v>-</v>
      </c>
      <c r="E34" s="31"/>
      <c r="F34" s="31" t="s">
        <v>389</v>
      </c>
      <c r="G34" s="31" t="s">
        <v>591</v>
      </c>
      <c r="H34" s="31" t="s">
        <v>590</v>
      </c>
      <c r="I34" s="31" t="s">
        <v>361</v>
      </c>
      <c r="J34" s="31" t="s">
        <v>361</v>
      </c>
      <c r="K34" s="31" t="s">
        <v>361</v>
      </c>
      <c r="L34" s="31"/>
    </row>
    <row r="35" spans="1:12">
      <c r="A35" t="s">
        <v>390</v>
      </c>
      <c r="B35" s="42" t="s">
        <v>383</v>
      </c>
      <c r="C35" s="67"/>
      <c r="D35" s="31" t="str">
        <f t="shared" si="0"/>
        <v>-</v>
      </c>
      <c r="E35" s="31"/>
      <c r="F35" s="31" t="s">
        <v>389</v>
      </c>
      <c r="G35" s="31" t="s">
        <v>591</v>
      </c>
      <c r="H35" s="31" t="s">
        <v>590</v>
      </c>
      <c r="I35" s="31" t="s">
        <v>366</v>
      </c>
      <c r="J35" s="31" t="s">
        <v>366</v>
      </c>
      <c r="K35" s="31" t="s">
        <v>366</v>
      </c>
      <c r="L35" s="31"/>
    </row>
    <row r="36" spans="1:12">
      <c r="A36" t="s">
        <v>391</v>
      </c>
      <c r="B36" s="42" t="s">
        <v>383</v>
      </c>
      <c r="C36" s="67" t="s">
        <v>392</v>
      </c>
      <c r="D36" s="31" t="str">
        <f t="shared" si="0"/>
        <v>-</v>
      </c>
      <c r="E36" s="31"/>
      <c r="F36" s="31" t="s">
        <v>392</v>
      </c>
      <c r="G36" s="31" t="s">
        <v>591</v>
      </c>
      <c r="H36" s="31" t="s">
        <v>590</v>
      </c>
      <c r="I36" s="31" t="s">
        <v>392</v>
      </c>
      <c r="J36" s="31" t="s">
        <v>392</v>
      </c>
      <c r="K36" s="31" t="s">
        <v>392</v>
      </c>
      <c r="L36" s="31"/>
    </row>
    <row r="37" spans="1:12">
      <c r="A37" t="s">
        <v>393</v>
      </c>
      <c r="B37" s="39" t="s">
        <v>383</v>
      </c>
      <c r="C37" s="66"/>
      <c r="D37" s="27" t="str">
        <f t="shared" si="0"/>
        <v>-</v>
      </c>
      <c r="E37" s="27"/>
      <c r="F37" s="27"/>
      <c r="G37" s="27"/>
      <c r="H37" s="27" t="s">
        <v>590</v>
      </c>
      <c r="I37" s="27" t="s">
        <v>361</v>
      </c>
      <c r="J37" s="27" t="s">
        <v>361</v>
      </c>
      <c r="K37" s="27" t="s">
        <v>361</v>
      </c>
      <c r="L37" s="27"/>
    </row>
    <row r="38" spans="1:12">
      <c r="A38" t="s">
        <v>394</v>
      </c>
      <c r="B38" s="39" t="s">
        <v>383</v>
      </c>
      <c r="C38" s="66"/>
      <c r="D38" s="27" t="str">
        <f t="shared" si="0"/>
        <v>-</v>
      </c>
      <c r="E38" s="27"/>
      <c r="F38" s="27"/>
      <c r="G38" s="27"/>
      <c r="H38" s="27" t="s">
        <v>590</v>
      </c>
      <c r="I38" s="27" t="s">
        <v>366</v>
      </c>
      <c r="J38" s="27" t="s">
        <v>366</v>
      </c>
      <c r="K38" s="27" t="s">
        <v>366</v>
      </c>
      <c r="L38" s="27"/>
    </row>
    <row r="39" spans="1:12">
      <c r="A39" t="s">
        <v>395</v>
      </c>
      <c r="B39" s="39" t="s">
        <v>383</v>
      </c>
      <c r="C39" s="66"/>
      <c r="D39" s="27" t="str">
        <f t="shared" si="0"/>
        <v>-</v>
      </c>
      <c r="E39" s="27"/>
      <c r="F39" s="27"/>
      <c r="G39" s="27"/>
      <c r="H39" s="27" t="s">
        <v>590</v>
      </c>
      <c r="I39" s="27" t="s">
        <v>361</v>
      </c>
      <c r="J39" s="27" t="s">
        <v>361</v>
      </c>
      <c r="K39" s="27" t="s">
        <v>361</v>
      </c>
      <c r="L39" s="27"/>
    </row>
    <row r="40" spans="1:12">
      <c r="A40" t="s">
        <v>396</v>
      </c>
      <c r="B40" s="39" t="s">
        <v>383</v>
      </c>
      <c r="C40" s="66"/>
      <c r="D40" s="27" t="str">
        <f t="shared" si="0"/>
        <v>-</v>
      </c>
      <c r="E40" s="27"/>
      <c r="F40" s="27"/>
      <c r="G40" s="27"/>
      <c r="H40" s="27" t="s">
        <v>590</v>
      </c>
      <c r="I40" s="27" t="s">
        <v>366</v>
      </c>
      <c r="J40" s="27" t="s">
        <v>366</v>
      </c>
      <c r="K40" s="27" t="s">
        <v>366</v>
      </c>
      <c r="L40" s="27"/>
    </row>
    <row r="41" spans="1:12">
      <c r="A41" t="s">
        <v>333</v>
      </c>
      <c r="B41" s="40" t="s">
        <v>383</v>
      </c>
      <c r="C41" s="46"/>
      <c r="D41" s="23" t="str">
        <f t="shared" si="0"/>
        <v>-</v>
      </c>
      <c r="E41" s="23"/>
      <c r="F41" s="23"/>
      <c r="G41" s="23"/>
      <c r="H41" s="23"/>
      <c r="I41" s="23"/>
      <c r="J41" s="23"/>
      <c r="K41" s="23"/>
      <c r="L41" s="23"/>
    </row>
    <row r="42" spans="1:12">
      <c r="A42" t="s">
        <v>333</v>
      </c>
      <c r="B42" s="41" t="s">
        <v>383</v>
      </c>
      <c r="C42" s="47"/>
      <c r="D42" s="1" t="str">
        <f t="shared" si="0"/>
        <v>-</v>
      </c>
      <c r="E42" s="1"/>
      <c r="F42" s="1"/>
      <c r="G42" s="1"/>
      <c r="H42" s="1"/>
      <c r="I42" s="1"/>
      <c r="J42" s="1"/>
      <c r="K42" s="1"/>
      <c r="L42" s="1"/>
    </row>
    <row r="43" spans="1:12">
      <c r="A43" t="s">
        <v>333</v>
      </c>
      <c r="B43" s="41" t="s">
        <v>383</v>
      </c>
      <c r="C43" s="47"/>
      <c r="D43" s="1" t="str">
        <f t="shared" si="0"/>
        <v>-</v>
      </c>
      <c r="E43" s="1"/>
      <c r="F43" s="1"/>
      <c r="G43" s="1"/>
      <c r="H43" s="1"/>
      <c r="I43" s="1"/>
      <c r="J43" s="1"/>
      <c r="K43" s="1"/>
      <c r="L43" s="1"/>
    </row>
    <row r="44" spans="1:12">
      <c r="A44" t="s">
        <v>333</v>
      </c>
      <c r="B44" s="41" t="s">
        <v>383</v>
      </c>
      <c r="C44" s="47"/>
      <c r="D44" s="1" t="str">
        <f t="shared" si="0"/>
        <v>-</v>
      </c>
      <c r="E44" s="1"/>
      <c r="F44" s="1"/>
      <c r="G44" s="1"/>
      <c r="H44" s="1"/>
      <c r="I44" s="1"/>
      <c r="J44" s="1"/>
      <c r="K44" s="1"/>
      <c r="L44" s="1"/>
    </row>
    <row r="45" spans="1:12">
      <c r="A45" t="s">
        <v>333</v>
      </c>
      <c r="B45" s="41" t="s">
        <v>383</v>
      </c>
      <c r="C45" s="47"/>
      <c r="D45" s="1" t="str">
        <f t="shared" si="0"/>
        <v>-</v>
      </c>
      <c r="E45" s="1"/>
      <c r="F45" s="1"/>
      <c r="G45" s="1"/>
      <c r="H45" s="1"/>
      <c r="I45" s="1"/>
      <c r="J45" s="1"/>
      <c r="K45" s="1"/>
      <c r="L45" s="1"/>
    </row>
    <row r="46" spans="1:12">
      <c r="A46" t="s">
        <v>333</v>
      </c>
      <c r="B46" s="41" t="s">
        <v>383</v>
      </c>
      <c r="C46" s="47"/>
      <c r="D46" s="1" t="str">
        <f t="shared" si="0"/>
        <v>-</v>
      </c>
      <c r="E46" s="1"/>
      <c r="F46" s="1"/>
      <c r="G46" s="1"/>
      <c r="H46" s="1"/>
      <c r="I46" s="1"/>
      <c r="J46" s="1"/>
      <c r="K46" s="1"/>
      <c r="L46" s="1"/>
    </row>
    <row r="47" spans="1:12">
      <c r="A47" t="s">
        <v>333</v>
      </c>
      <c r="B47" s="43" t="s">
        <v>397</v>
      </c>
      <c r="C47" s="68"/>
      <c r="D47" s="1" t="str">
        <f t="shared" si="0"/>
        <v>-</v>
      </c>
      <c r="E47" s="1"/>
      <c r="F47" s="1"/>
      <c r="G47" s="1"/>
      <c r="H47" s="1"/>
      <c r="I47" s="1"/>
      <c r="J47" s="1"/>
      <c r="K47" s="1"/>
      <c r="L47" s="1"/>
    </row>
    <row r="48" spans="1:12">
      <c r="A48" t="s">
        <v>333</v>
      </c>
      <c r="B48" s="43" t="s">
        <v>397</v>
      </c>
      <c r="C48" s="68"/>
      <c r="D48" s="1" t="str">
        <f t="shared" si="0"/>
        <v>-</v>
      </c>
      <c r="E48" s="1"/>
      <c r="F48" s="1"/>
      <c r="G48" s="1"/>
      <c r="H48" s="1"/>
      <c r="I48" s="1"/>
      <c r="J48" s="1"/>
      <c r="K48" s="1"/>
      <c r="L48" s="1"/>
    </row>
    <row r="49" spans="1:12">
      <c r="A49" t="s">
        <v>333</v>
      </c>
      <c r="B49" s="43" t="s">
        <v>397</v>
      </c>
      <c r="C49" s="68"/>
      <c r="D49" s="1" t="str">
        <f t="shared" si="0"/>
        <v>-</v>
      </c>
      <c r="E49" s="1"/>
      <c r="F49" s="1"/>
      <c r="G49" s="1"/>
      <c r="H49" s="1"/>
      <c r="I49" s="1"/>
      <c r="J49" s="1"/>
      <c r="K49" s="1"/>
      <c r="L49" s="1"/>
    </row>
    <row r="50" spans="1:12">
      <c r="A50" t="s">
        <v>333</v>
      </c>
      <c r="B50" s="43" t="s">
        <v>397</v>
      </c>
      <c r="C50" s="68"/>
      <c r="D50" s="1" t="str">
        <f t="shared" si="0"/>
        <v>-</v>
      </c>
      <c r="E50" s="1"/>
      <c r="F50" s="1"/>
      <c r="G50" s="1"/>
      <c r="H50" s="1"/>
      <c r="I50" s="1"/>
      <c r="J50" s="1"/>
      <c r="K50" s="1"/>
      <c r="L50" s="1"/>
    </row>
    <row r="51" spans="1:12">
      <c r="A51" t="s">
        <v>333</v>
      </c>
      <c r="B51" s="43"/>
      <c r="C51" s="68"/>
      <c r="D51" s="1" t="str">
        <f t="shared" si="0"/>
        <v>-</v>
      </c>
      <c r="E51" s="1"/>
      <c r="F51" s="1"/>
      <c r="G51" s="1"/>
      <c r="H51" s="1"/>
      <c r="I51" s="1"/>
      <c r="J51" s="1"/>
      <c r="K51" s="1"/>
      <c r="L51" s="1"/>
    </row>
    <row r="52" spans="1:12">
      <c r="A52" t="s">
        <v>423</v>
      </c>
      <c r="B52" s="44"/>
      <c r="C52" s="74"/>
      <c r="D52" s="13" t="str">
        <f t="shared" si="0"/>
        <v>-</v>
      </c>
      <c r="E52" s="13"/>
      <c r="F52" s="13"/>
      <c r="G52" s="13"/>
      <c r="H52" s="13"/>
      <c r="I52" s="13"/>
      <c r="J52" s="13"/>
      <c r="K52" s="13"/>
      <c r="L52" s="13"/>
    </row>
    <row r="53" spans="1:12">
      <c r="A53" t="s">
        <v>399</v>
      </c>
      <c r="B53" s="34" t="s">
        <v>43</v>
      </c>
      <c r="C53" s="65"/>
      <c r="D53" s="20" t="str">
        <f t="shared" si="0"/>
        <v>-</v>
      </c>
      <c r="E53" s="20"/>
      <c r="F53" s="20" t="s">
        <v>402</v>
      </c>
      <c r="G53" s="20"/>
      <c r="H53" s="20"/>
      <c r="I53" s="20" t="s">
        <v>402</v>
      </c>
      <c r="J53" s="20" t="s">
        <v>402</v>
      </c>
      <c r="K53" s="20" t="s">
        <v>402</v>
      </c>
      <c r="L53" s="20"/>
    </row>
    <row r="54" spans="1:12">
      <c r="A54" t="s">
        <v>403</v>
      </c>
      <c r="B54" s="69" t="s">
        <v>404</v>
      </c>
      <c r="C54" s="45"/>
      <c r="D54" s="31" t="str">
        <f t="shared" si="0"/>
        <v>-</v>
      </c>
      <c r="E54" s="31"/>
      <c r="F54" s="31" t="s">
        <v>400</v>
      </c>
      <c r="G54" s="31"/>
      <c r="H54" s="31"/>
      <c r="I54" s="31" t="s">
        <v>400</v>
      </c>
      <c r="J54" s="31" t="s">
        <v>400</v>
      </c>
      <c r="K54" s="31" t="s">
        <v>400</v>
      </c>
      <c r="L54" s="31"/>
    </row>
    <row r="55" spans="1:12">
      <c r="A55" t="s">
        <v>333</v>
      </c>
      <c r="B55" s="40" t="s">
        <v>405</v>
      </c>
      <c r="C55" s="46"/>
      <c r="D55" s="23" t="str">
        <f t="shared" si="0"/>
        <v>-</v>
      </c>
      <c r="E55" s="23"/>
      <c r="F55" s="23"/>
      <c r="G55" s="23"/>
      <c r="H55" s="23"/>
      <c r="I55" s="23"/>
      <c r="J55" s="23"/>
      <c r="K55" s="23"/>
      <c r="L55" s="23"/>
    </row>
    <row r="56" spans="1:12">
      <c r="A56" t="s">
        <v>333</v>
      </c>
      <c r="B56" s="41" t="s">
        <v>405</v>
      </c>
      <c r="C56" s="47"/>
      <c r="D56" s="1" t="str">
        <f t="shared" si="0"/>
        <v>-</v>
      </c>
      <c r="E56" s="1"/>
      <c r="F56" s="1"/>
      <c r="G56" s="1"/>
      <c r="H56" s="1"/>
      <c r="I56" s="1"/>
      <c r="J56" s="1"/>
      <c r="K56" s="1"/>
      <c r="L56" s="1"/>
    </row>
    <row r="57" spans="1:12">
      <c r="A57" t="s">
        <v>333</v>
      </c>
      <c r="B57" s="37"/>
      <c r="C57" s="48"/>
      <c r="D57" s="1" t="str">
        <f t="shared" si="0"/>
        <v>-</v>
      </c>
      <c r="E57" s="1"/>
      <c r="F57" s="1"/>
      <c r="G57" s="1"/>
      <c r="H57" s="1"/>
      <c r="I57" s="1"/>
      <c r="J57" s="1"/>
      <c r="K57" s="1"/>
      <c r="L57" s="1"/>
    </row>
    <row r="58" spans="1:12">
      <c r="A58" t="s">
        <v>429</v>
      </c>
      <c r="B58" s="72"/>
      <c r="C58" s="73"/>
      <c r="D58" s="13" t="str">
        <f t="shared" si="0"/>
        <v>-</v>
      </c>
      <c r="E58" s="13"/>
      <c r="F58" s="13"/>
      <c r="G58" s="13"/>
      <c r="H58" s="13"/>
      <c r="I58" s="13"/>
      <c r="J58" s="13"/>
      <c r="K58" s="13"/>
      <c r="L58" s="13"/>
    </row>
    <row r="59" spans="1:12">
      <c r="A59" t="s">
        <v>406</v>
      </c>
      <c r="B59" s="69" t="s">
        <v>407</v>
      </c>
      <c r="C59" s="45"/>
      <c r="D59" s="31" t="str">
        <f t="shared" si="0"/>
        <v>-</v>
      </c>
      <c r="E59" s="31"/>
      <c r="F59" s="31" t="s">
        <v>408</v>
      </c>
      <c r="G59" s="31"/>
      <c r="H59" s="31"/>
      <c r="I59" s="31"/>
      <c r="J59" s="31" t="s">
        <v>409</v>
      </c>
      <c r="K59" s="31"/>
      <c r="L59" s="31"/>
    </row>
    <row r="60" spans="1:12">
      <c r="A60" t="s">
        <v>333</v>
      </c>
      <c r="B60" s="41" t="s">
        <v>410</v>
      </c>
      <c r="C60" s="47"/>
      <c r="D60" s="1" t="str">
        <f t="shared" si="0"/>
        <v>-</v>
      </c>
      <c r="E60" s="1"/>
      <c r="F60" s="1"/>
      <c r="G60" s="1"/>
      <c r="H60" s="1"/>
      <c r="I60" s="1"/>
      <c r="J60" s="1"/>
      <c r="K60" s="1"/>
      <c r="L60" s="1"/>
    </row>
    <row r="61" spans="1:12">
      <c r="A61" t="s">
        <v>411</v>
      </c>
      <c r="B61" s="69" t="s">
        <v>412</v>
      </c>
      <c r="C61" s="45"/>
      <c r="D61" s="31" t="str">
        <f t="shared" si="0"/>
        <v>-</v>
      </c>
      <c r="E61" s="31"/>
      <c r="F61" s="31"/>
      <c r="G61" s="31"/>
      <c r="H61" s="31"/>
      <c r="I61" s="31"/>
      <c r="J61" s="31" t="s">
        <v>413</v>
      </c>
      <c r="K61" s="31"/>
      <c r="L61" s="31"/>
    </row>
    <row r="62" spans="1:12">
      <c r="A62" t="s">
        <v>414</v>
      </c>
      <c r="B62" s="69" t="s">
        <v>412</v>
      </c>
      <c r="C62" s="45"/>
      <c r="D62" s="31" t="str">
        <f t="shared" si="0"/>
        <v>-</v>
      </c>
      <c r="E62" s="31"/>
      <c r="F62" s="31"/>
      <c r="G62" s="31"/>
      <c r="H62" s="31"/>
      <c r="I62" s="31"/>
      <c r="J62" s="31" t="s">
        <v>413</v>
      </c>
      <c r="K62" s="31"/>
      <c r="L62" s="31"/>
    </row>
    <row r="63" spans="1:12">
      <c r="A63" t="s">
        <v>415</v>
      </c>
      <c r="B63" s="70" t="s">
        <v>412</v>
      </c>
      <c r="C63" s="49"/>
      <c r="D63" s="27" t="str">
        <f t="shared" si="0"/>
        <v>-</v>
      </c>
      <c r="E63" s="27"/>
      <c r="F63" s="27"/>
      <c r="G63" s="27"/>
      <c r="H63" s="27"/>
      <c r="I63" s="27"/>
      <c r="J63" s="27" t="s">
        <v>413</v>
      </c>
      <c r="K63" s="27"/>
      <c r="L63" s="27"/>
    </row>
    <row r="64" spans="1:12">
      <c r="A64" t="s">
        <v>333</v>
      </c>
      <c r="B64" s="36" t="s">
        <v>412</v>
      </c>
      <c r="C64" s="50"/>
      <c r="D64" s="23" t="str">
        <f t="shared" si="0"/>
        <v>-</v>
      </c>
      <c r="E64" s="23"/>
      <c r="F64" s="23"/>
      <c r="G64" s="23"/>
      <c r="H64" s="23"/>
      <c r="I64" s="23"/>
      <c r="J64" s="23"/>
      <c r="K64" s="23"/>
      <c r="L64" s="23"/>
    </row>
    <row r="65" spans="1:12">
      <c r="A65" t="s">
        <v>333</v>
      </c>
      <c r="B65" s="36" t="s">
        <v>412</v>
      </c>
      <c r="C65" s="50"/>
      <c r="D65" s="23" t="str">
        <f t="shared" si="0"/>
        <v>-</v>
      </c>
      <c r="E65" s="23"/>
      <c r="F65" s="23"/>
      <c r="G65" s="23"/>
      <c r="H65" s="23"/>
      <c r="I65" s="23"/>
      <c r="J65" s="23"/>
      <c r="K65" s="23"/>
      <c r="L65" s="23"/>
    </row>
    <row r="66" spans="1:12">
      <c r="A66" t="s">
        <v>333</v>
      </c>
      <c r="B66" s="59" t="s">
        <v>416</v>
      </c>
      <c r="C66" s="60"/>
      <c r="D66" s="1" t="str">
        <f t="shared" si="0"/>
        <v>-</v>
      </c>
      <c r="E66" s="1"/>
      <c r="F66" s="1"/>
      <c r="G66" s="1"/>
      <c r="H66" s="1"/>
      <c r="I66" s="1"/>
      <c r="J66" s="1"/>
      <c r="K66" s="1"/>
      <c r="L66" s="1"/>
    </row>
    <row r="67" spans="1:12">
      <c r="A67" s="10" t="s">
        <v>333</v>
      </c>
      <c r="B67" s="37" t="s">
        <v>417</v>
      </c>
      <c r="C67" s="48"/>
      <c r="D67" s="1" t="str">
        <f t="shared" si="0"/>
        <v>-</v>
      </c>
      <c r="E67" s="1"/>
      <c r="F67" s="1"/>
      <c r="G67" s="1"/>
      <c r="H67" s="1"/>
      <c r="I67" s="1"/>
      <c r="J67" s="1"/>
      <c r="K67" s="1"/>
      <c r="L67" s="1"/>
    </row>
    <row r="68" spans="1:12">
      <c r="A68" s="10" t="s">
        <v>333</v>
      </c>
      <c r="B68" s="71" t="s">
        <v>418</v>
      </c>
      <c r="C68" s="61"/>
      <c r="D68" s="13" t="str">
        <f t="shared" si="0"/>
        <v>-</v>
      </c>
      <c r="E68" s="13"/>
      <c r="F68" s="13"/>
      <c r="G68" s="13"/>
      <c r="H68" s="13"/>
      <c r="I68" s="13"/>
      <c r="J68" s="13"/>
      <c r="K68" s="13"/>
      <c r="L68" s="13"/>
    </row>
  </sheetData>
  <mergeCells count="2">
    <mergeCell ref="F3:L3"/>
    <mergeCell ref="E1:L1"/>
  </mergeCells>
  <conditionalFormatting sqref="A6:A10 A12:A51 A53:A57 A59:A68">
    <cfRule type="duplicateValues" dxfId="0" priority="1"/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C088F8588E144E874C90EDA10B47AF" ma:contentTypeVersion="4" ma:contentTypeDescription="Create a new document." ma:contentTypeScope="" ma:versionID="807b0576b2e6e421210fb773534a31f7">
  <xsd:schema xmlns:xsd="http://www.w3.org/2001/XMLSchema" xmlns:xs="http://www.w3.org/2001/XMLSchema" xmlns:p="http://schemas.microsoft.com/office/2006/metadata/properties" xmlns:ns2="4c0b171f-ad6d-42b9-aee2-62c3accdf754" xmlns:ns3="137c5dc9-aeb4-426f-b794-a586c90e317b" targetNamespace="http://schemas.microsoft.com/office/2006/metadata/properties" ma:root="true" ma:fieldsID="8b426640118de2599c2930a0539a9a40" ns2:_="" ns3:_="">
    <xsd:import namespace="4c0b171f-ad6d-42b9-aee2-62c3accdf754"/>
    <xsd:import namespace="137c5dc9-aeb4-426f-b794-a586c90e317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0b171f-ad6d-42b9-aee2-62c3accdf75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7c5dc9-aeb4-426f-b794-a586c90e317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628D103-F73B-464E-B912-C5E0481D04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528574C-1C91-463F-ABEB-4431348C9D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0b171f-ad6d-42b9-aee2-62c3accdf754"/>
    <ds:schemaRef ds:uri="137c5dc9-aeb4-426f-b794-a586c90e317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E034B0F-724F-4144-9871-3554C739EE1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WnS Bill</vt:lpstr>
      <vt:lpstr>Skills Grid</vt:lpstr>
      <vt:lpstr>Sheet1</vt:lpstr>
      <vt:lpstr>WnS Bill Move Ship</vt:lpstr>
      <vt:lpstr>WnS Bill Harbour Cruise</vt:lpstr>
      <vt:lpstr>WnS Bill Day Sail</vt:lpstr>
      <vt:lpstr>WnS Bill Voyage</vt:lpstr>
    </vt:vector>
  </TitlesOfParts>
  <Manager/>
  <Company>Swinburne University of Technology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Andy Green</dc:creator>
  <cp:keywords/>
  <dc:description/>
  <cp:lastModifiedBy>Andy Green</cp:lastModifiedBy>
  <cp:revision/>
  <dcterms:created xsi:type="dcterms:W3CDTF">2018-08-06T01:36:10Z</dcterms:created>
  <dcterms:modified xsi:type="dcterms:W3CDTF">2020-02-22T06:20:15Z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0x0101000BC088F8588E144E874C90EDA10B47AF</vt:lpwstr>
  </property>
</Properties>
</file>